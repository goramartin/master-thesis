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AA\diploma-attachments\A.6-modelling-user-study\"/>
    </mc:Choice>
  </mc:AlternateContent>
  <xr:revisionPtr revIDLastSave="0" documentId="13_ncr:1_{137209F8-34D5-4918-9F73-7B6438F004A8}" xr6:coauthVersionLast="47" xr6:coauthVersionMax="47" xr10:uidLastSave="{00000000-0000-0000-0000-000000000000}"/>
  <bookViews>
    <workbookView xWindow="28680" yWindow="-120" windowWidth="29040" windowHeight="15990" activeTab="1" xr2:uid="{B80433A3-7C3A-473D-AE6B-EAD78BD7B692}"/>
  </bookViews>
  <sheets>
    <sheet name="Graf1" sheetId="2" r:id="rId1"/>
    <sheet name="Lis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77" i="1" l="1"/>
  <c r="AA49" i="1"/>
  <c r="AA24" i="1"/>
  <c r="Z24" i="1"/>
  <c r="Z77" i="1"/>
  <c r="Z49" i="1"/>
  <c r="Y77" i="1"/>
  <c r="Y49" i="1"/>
  <c r="Y24" i="1"/>
  <c r="N77" i="1"/>
  <c r="O77" i="1"/>
  <c r="P77" i="1"/>
  <c r="Q77" i="1"/>
  <c r="R77" i="1"/>
  <c r="S77" i="1"/>
  <c r="T77" i="1"/>
  <c r="U77" i="1"/>
  <c r="V77" i="1"/>
  <c r="W77" i="1"/>
  <c r="X77" i="1"/>
  <c r="M77" i="1"/>
  <c r="N49" i="1"/>
  <c r="O49" i="1"/>
  <c r="P49" i="1"/>
  <c r="Q49" i="1"/>
  <c r="R49" i="1"/>
  <c r="S49" i="1"/>
  <c r="T49" i="1"/>
  <c r="U49" i="1"/>
  <c r="V49" i="1"/>
  <c r="W49" i="1"/>
  <c r="X49" i="1"/>
  <c r="M49" i="1"/>
  <c r="M24" i="1"/>
  <c r="N24" i="1"/>
  <c r="O24" i="1"/>
  <c r="P24" i="1"/>
  <c r="Q24" i="1"/>
  <c r="R24" i="1"/>
  <c r="S24" i="1"/>
  <c r="T24" i="1"/>
  <c r="U24" i="1"/>
  <c r="V24" i="1"/>
  <c r="W24" i="1"/>
  <c r="X24" i="1"/>
</calcChain>
</file>

<file path=xl/sharedStrings.xml><?xml version="1.0" encoding="utf-8"?>
<sst xmlns="http://schemas.openxmlformats.org/spreadsheetml/2006/main" count="70" uniqueCount="60">
  <si>
    <t>Turistic destination</t>
  </si>
  <si>
    <t>official website</t>
  </si>
  <si>
    <t>opening times</t>
  </si>
  <si>
    <t>entry fees</t>
  </si>
  <si>
    <t>operator -&gt; organization</t>
  </si>
  <si>
    <t>operator -&gt; organization - phone number</t>
  </si>
  <si>
    <t>operator -&gt; organization - email address</t>
  </si>
  <si>
    <t>language used</t>
  </si>
  <si>
    <t xml:space="preserve">maximum capacity </t>
  </si>
  <si>
    <t>disabled accessibility</t>
  </si>
  <si>
    <t>street address</t>
  </si>
  <si>
    <t>coordinate location</t>
  </si>
  <si>
    <t>scholarly article</t>
  </si>
  <si>
    <t>title</t>
  </si>
  <si>
    <t>publication date</t>
  </si>
  <si>
    <t>published in -&gt; scientific journal</t>
  </si>
  <si>
    <t>published in -&gt; scientific journal - title</t>
  </si>
  <si>
    <t>published in -&gt; scientific journal - official website</t>
  </si>
  <si>
    <t>cites work -&gt; scholarly article</t>
  </si>
  <si>
    <t>cites work -&gt; scholarly article - doi</t>
  </si>
  <si>
    <t>doi</t>
  </si>
  <si>
    <t>cited by &lt;- scholarly article</t>
  </si>
  <si>
    <t>cited by &lt;- scholarly article - doi</t>
  </si>
  <si>
    <t>main subject -&gt; genes</t>
  </si>
  <si>
    <t>main subject -&gt; genes - hgnc identifier</t>
  </si>
  <si>
    <t>main subject -&gt; genes / genetic association -&gt; rare disease</t>
  </si>
  <si>
    <t>main subject -&gt; genes / genetic association -&gt; rare disease / symptoms -&gt; symptoms</t>
  </si>
  <si>
    <t>main subject -&gt; genes / genetic association -&gt; rare disease - short name</t>
  </si>
  <si>
    <t>main subject -&gt; genes / genetic association -&gt; rare disease - snomed ct id</t>
  </si>
  <si>
    <t>main subject -&gt; genes / encodes -&gt; protein</t>
  </si>
  <si>
    <t xml:space="preserve">main subject -&gt; genes / chromosone -&gt; chromosone </t>
  </si>
  <si>
    <t>main subject -&gt; genes / chromosone -&gt; chromosone - 3d model</t>
  </si>
  <si>
    <t>Album</t>
  </si>
  <si>
    <t>number parts of this work</t>
  </si>
  <si>
    <t>review score</t>
  </si>
  <si>
    <t>spotify albym id</t>
  </si>
  <si>
    <t>performer -&gt; musical group</t>
  </si>
  <si>
    <t>performer -&gt; musical group - inception</t>
  </si>
  <si>
    <t>performer -&gt; musical group - name</t>
  </si>
  <si>
    <t>performer -&gt; musical group - members count</t>
  </si>
  <si>
    <t>performer -&gt; musical group - spotify artist id</t>
  </si>
  <si>
    <t xml:space="preserve">performer -&gt; musical group / members of &lt;- human </t>
  </si>
  <si>
    <t>performer -&gt; musical group / members of &lt;- human - birth name</t>
  </si>
  <si>
    <t>performer -&gt; musical group / members of &lt;- human - pseudonym</t>
  </si>
  <si>
    <t>performer -&gt; musical group / members of &lt;- human / country -&gt; country</t>
  </si>
  <si>
    <t xml:space="preserve">genre -&gt; music genre </t>
  </si>
  <si>
    <t>genre -&gt; music genre - label</t>
  </si>
  <si>
    <t>genre -&gt; music genre - url</t>
  </si>
  <si>
    <t>has part -&gt; songs</t>
  </si>
  <si>
    <t>has part -&gt; songs - duration</t>
  </si>
  <si>
    <t>has part -&gt; songs - title</t>
  </si>
  <si>
    <t>has part -&gt; songs - audio/video</t>
  </si>
  <si>
    <t>has part -&gt; songs / lyrics -&gt; human</t>
  </si>
  <si>
    <t>has part -&gt; songs / lyrics -&gt; human - birth name</t>
  </si>
  <si>
    <t>Missing data</t>
  </si>
  <si>
    <t>1-2 not completed at all</t>
  </si>
  <si>
    <t>completion in %</t>
  </si>
  <si>
    <t>Avg completion</t>
  </si>
  <si>
    <t>Avg completion no missing</t>
  </si>
  <si>
    <t>Avg completion no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</si>
</sst>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2" borderId="2" xfId="0" applyFill="1" applyBorder="1"/>
    <xf numFmtId="0" fontId="0" fillId="2" borderId="0" xfId="0" applyFill="1"/>
    <xf numFmtId="0" fontId="0" fillId="2" borderId="6" xfId="0" applyFill="1" applyBorder="1"/>
    <xf numFmtId="0" fontId="0" fillId="3" borderId="2" xfId="0" applyFill="1" applyBorder="1"/>
    <xf numFmtId="0" fontId="0" fillId="3" borderId="0" xfId="0" applyFill="1"/>
    <xf numFmtId="0" fontId="0" fillId="3" borderId="6" xfId="0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196464"/>
        <c:axId val="231196880"/>
      </c:barChart>
      <c:catAx>
        <c:axId val="23119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96880"/>
        <c:crosses val="autoZero"/>
        <c:auto val="1"/>
        <c:lblAlgn val="ctr"/>
        <c:lblOffset val="100"/>
        <c:noMultiLvlLbl val="0"/>
      </c:catAx>
      <c:valAx>
        <c:axId val="23119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9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BCB9D3-D97B-444B-9852-A4922075DD5C}">
  <sheetPr/>
  <sheetViews>
    <sheetView zoomScale="65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23000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98E8C1D-43C8-AB5A-5E78-8D5E2560C2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386F-6D10-4585-BFE5-F01E8253D506}">
  <dimension ref="D4:AA77"/>
  <sheetViews>
    <sheetView tabSelected="1" zoomScale="40" zoomScaleNormal="40" workbookViewId="0">
      <selection activeCell="H39" sqref="H39"/>
    </sheetView>
  </sheetViews>
  <sheetFormatPr defaultRowHeight="14.5" x14ac:dyDescent="0.35"/>
  <cols>
    <col min="4" max="4" width="95.1796875" customWidth="1"/>
    <col min="5" max="5" width="10.08984375" customWidth="1"/>
    <col min="12" max="12" width="86.453125" customWidth="1"/>
    <col min="22" max="22" width="20.6328125" bestFit="1" customWidth="1"/>
    <col min="23" max="23" width="11.26953125" customWidth="1"/>
    <col min="25" max="25" width="14.54296875" customWidth="1"/>
    <col min="26" max="27" width="25.1796875" bestFit="1" customWidth="1"/>
  </cols>
  <sheetData>
    <row r="4" spans="4:24" x14ac:dyDescent="0.35"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11" spans="4:24" x14ac:dyDescent="0.35">
      <c r="V11" s="15" t="s">
        <v>55</v>
      </c>
      <c r="W11" s="12" t="s">
        <v>54</v>
      </c>
    </row>
    <row r="12" spans="4:24" ht="18.5" x14ac:dyDescent="0.45">
      <c r="L12" s="18" t="s">
        <v>0</v>
      </c>
      <c r="M12" s="18">
        <v>1</v>
      </c>
      <c r="N12" s="18">
        <v>2</v>
      </c>
      <c r="O12" s="18">
        <v>3</v>
      </c>
      <c r="P12" s="18">
        <v>4</v>
      </c>
      <c r="Q12" s="18">
        <v>5</v>
      </c>
      <c r="R12" s="18">
        <v>6</v>
      </c>
      <c r="S12" s="18">
        <v>7</v>
      </c>
      <c r="T12" s="18">
        <v>8</v>
      </c>
      <c r="U12" s="18">
        <v>9</v>
      </c>
      <c r="V12" s="18">
        <v>10</v>
      </c>
      <c r="W12" s="18">
        <v>11</v>
      </c>
      <c r="X12" s="18">
        <v>12</v>
      </c>
    </row>
    <row r="13" spans="4:24" x14ac:dyDescent="0.35">
      <c r="L13" s="7" t="s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14">
        <v>0</v>
      </c>
      <c r="W13" s="11">
        <v>0</v>
      </c>
      <c r="X13" s="3">
        <v>1</v>
      </c>
    </row>
    <row r="14" spans="4:24" x14ac:dyDescent="0.35">
      <c r="D14" s="1"/>
      <c r="L14" s="8" t="s">
        <v>2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 s="15">
        <v>0</v>
      </c>
      <c r="W14" s="12">
        <v>0</v>
      </c>
      <c r="X14" s="4">
        <v>1</v>
      </c>
    </row>
    <row r="15" spans="4:24" x14ac:dyDescent="0.35">
      <c r="L15" s="8" t="s">
        <v>3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 s="15">
        <v>0</v>
      </c>
      <c r="W15" s="12">
        <v>0</v>
      </c>
      <c r="X15" s="4">
        <v>1</v>
      </c>
    </row>
    <row r="16" spans="4:24" x14ac:dyDescent="0.35">
      <c r="L16" s="8" t="s">
        <v>4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 s="15">
        <v>0</v>
      </c>
      <c r="W16" s="12">
        <v>0</v>
      </c>
      <c r="X16" s="4">
        <v>1</v>
      </c>
    </row>
    <row r="17" spans="4:27" x14ac:dyDescent="0.35">
      <c r="L17" s="8" t="s">
        <v>5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 s="15">
        <v>0</v>
      </c>
      <c r="W17" s="12">
        <v>0</v>
      </c>
      <c r="X17" s="4">
        <v>1</v>
      </c>
    </row>
    <row r="18" spans="4:27" x14ac:dyDescent="0.35">
      <c r="L18" s="8" t="s">
        <v>6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 s="15">
        <v>0</v>
      </c>
      <c r="W18" s="12">
        <v>0</v>
      </c>
      <c r="X18" s="4">
        <v>1</v>
      </c>
    </row>
    <row r="19" spans="4:27" x14ac:dyDescent="0.35">
      <c r="L19" s="8" t="s">
        <v>7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 s="15">
        <v>0</v>
      </c>
      <c r="W19" s="12">
        <v>0</v>
      </c>
      <c r="X19" s="4">
        <v>0</v>
      </c>
    </row>
    <row r="20" spans="4:27" x14ac:dyDescent="0.35">
      <c r="L20" s="8" t="s">
        <v>8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 s="15">
        <v>0</v>
      </c>
      <c r="W20" s="12">
        <v>0</v>
      </c>
      <c r="X20" s="4">
        <v>0</v>
      </c>
    </row>
    <row r="21" spans="4:27" x14ac:dyDescent="0.35">
      <c r="L21" s="8" t="s">
        <v>9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 s="15">
        <v>0</v>
      </c>
      <c r="W21" s="12">
        <v>0</v>
      </c>
      <c r="X21" s="4">
        <v>1</v>
      </c>
    </row>
    <row r="22" spans="4:27" x14ac:dyDescent="0.35">
      <c r="L22" s="8" t="s">
        <v>10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 s="15">
        <v>0</v>
      </c>
      <c r="W22" s="12">
        <v>0</v>
      </c>
      <c r="X22" s="4">
        <v>1</v>
      </c>
    </row>
    <row r="23" spans="4:27" x14ac:dyDescent="0.35">
      <c r="L23" s="9" t="s">
        <v>11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16">
        <v>0</v>
      </c>
      <c r="W23" s="13">
        <v>0</v>
      </c>
      <c r="X23" s="6">
        <v>1</v>
      </c>
      <c r="Y23" s="20" t="s">
        <v>57</v>
      </c>
      <c r="Z23" s="19" t="s">
        <v>58</v>
      </c>
      <c r="AA23" s="21" t="s">
        <v>59</v>
      </c>
    </row>
    <row r="24" spans="4:27" x14ac:dyDescent="0.35">
      <c r="L24" s="17" t="s">
        <v>56</v>
      </c>
      <c r="M24" s="17">
        <f>(SUM(M13:M23) / 11) * 100</f>
        <v>100</v>
      </c>
      <c r="N24" s="17">
        <f t="shared" ref="N24:X24" si="0">(SUM(N13:N23) / 11) * 100</f>
        <v>100</v>
      </c>
      <c r="O24" s="17">
        <f t="shared" si="0"/>
        <v>100</v>
      </c>
      <c r="P24" s="17">
        <f t="shared" si="0"/>
        <v>100</v>
      </c>
      <c r="Q24" s="17">
        <f t="shared" si="0"/>
        <v>100</v>
      </c>
      <c r="R24" s="17">
        <f t="shared" si="0"/>
        <v>100</v>
      </c>
      <c r="S24" s="17">
        <f t="shared" si="0"/>
        <v>100</v>
      </c>
      <c r="T24" s="17">
        <f t="shared" si="0"/>
        <v>72.727272727272734</v>
      </c>
      <c r="U24" s="17">
        <f t="shared" si="0"/>
        <v>100</v>
      </c>
      <c r="V24" s="17">
        <f t="shared" si="0"/>
        <v>0</v>
      </c>
      <c r="W24" s="17">
        <f t="shared" si="0"/>
        <v>0</v>
      </c>
      <c r="X24" s="17">
        <f t="shared" si="0"/>
        <v>81.818181818181827</v>
      </c>
      <c r="Y24" s="17">
        <f>AVERAGEA(M24:X24)</f>
        <v>79.545454545454547</v>
      </c>
      <c r="Z24" s="17">
        <f>AVERAGEA(M24:V24,X24)</f>
        <v>86.776859504132233</v>
      </c>
      <c r="AA24" s="17">
        <f>AVERAGEA(M24:U24,X24)</f>
        <v>95.454545454545467</v>
      </c>
    </row>
    <row r="29" spans="4:27" ht="18.5" x14ac:dyDescent="0.45">
      <c r="D29" s="1"/>
      <c r="L29" s="18" t="s">
        <v>12</v>
      </c>
      <c r="M29" s="18">
        <v>1</v>
      </c>
      <c r="N29" s="18">
        <v>2</v>
      </c>
      <c r="O29" s="18">
        <v>3</v>
      </c>
      <c r="P29" s="18">
        <v>4</v>
      </c>
      <c r="Q29" s="18">
        <v>5</v>
      </c>
      <c r="R29" s="18">
        <v>6</v>
      </c>
      <c r="S29" s="18">
        <v>7</v>
      </c>
      <c r="T29" s="18">
        <v>8</v>
      </c>
      <c r="U29" s="18">
        <v>9</v>
      </c>
      <c r="V29" s="18">
        <v>10</v>
      </c>
      <c r="W29" s="18">
        <v>11</v>
      </c>
      <c r="X29" s="18">
        <v>12</v>
      </c>
    </row>
    <row r="30" spans="4:27" x14ac:dyDescent="0.35">
      <c r="L30" s="7" t="s">
        <v>13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14">
        <v>0</v>
      </c>
      <c r="W30" s="11">
        <v>0</v>
      </c>
      <c r="X30" s="3">
        <v>1</v>
      </c>
    </row>
    <row r="31" spans="4:27" x14ac:dyDescent="0.35">
      <c r="L31" s="8" t="s">
        <v>14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 s="15">
        <v>0</v>
      </c>
      <c r="W31" s="12">
        <v>0</v>
      </c>
      <c r="X31" s="4">
        <v>1</v>
      </c>
    </row>
    <row r="32" spans="4:27" x14ac:dyDescent="0.35">
      <c r="L32" s="8" t="s">
        <v>20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 s="15">
        <v>0</v>
      </c>
      <c r="W32" s="12">
        <v>0</v>
      </c>
      <c r="X32" s="4">
        <v>1</v>
      </c>
    </row>
    <row r="33" spans="12:27" x14ac:dyDescent="0.35">
      <c r="L33" s="8" t="s">
        <v>15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 s="15">
        <v>0</v>
      </c>
      <c r="W33" s="12">
        <v>0</v>
      </c>
      <c r="X33" s="4">
        <v>1</v>
      </c>
    </row>
    <row r="34" spans="12:27" x14ac:dyDescent="0.35">
      <c r="L34" s="8" t="s">
        <v>16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15">
        <v>0</v>
      </c>
      <c r="W34" s="12">
        <v>0</v>
      </c>
      <c r="X34" s="4">
        <v>1</v>
      </c>
    </row>
    <row r="35" spans="12:27" x14ac:dyDescent="0.35">
      <c r="L35" s="8" t="s">
        <v>17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s="15">
        <v>0</v>
      </c>
      <c r="W35" s="12">
        <v>0</v>
      </c>
      <c r="X35" s="4">
        <v>1</v>
      </c>
    </row>
    <row r="36" spans="12:27" x14ac:dyDescent="0.35">
      <c r="L36" s="8" t="s">
        <v>18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15">
        <v>0</v>
      </c>
      <c r="W36" s="12">
        <v>0</v>
      </c>
      <c r="X36" s="4">
        <v>1</v>
      </c>
    </row>
    <row r="37" spans="12:27" x14ac:dyDescent="0.35">
      <c r="L37" s="8" t="s">
        <v>19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15">
        <v>0</v>
      </c>
      <c r="W37" s="12">
        <v>0</v>
      </c>
      <c r="X37" s="4">
        <v>1</v>
      </c>
    </row>
    <row r="38" spans="12:27" x14ac:dyDescent="0.35">
      <c r="L38" s="8" t="s">
        <v>21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0</v>
      </c>
      <c r="T38">
        <v>0</v>
      </c>
      <c r="U38">
        <v>1</v>
      </c>
      <c r="V38" s="15">
        <v>0</v>
      </c>
      <c r="W38" s="12">
        <v>0</v>
      </c>
      <c r="X38" s="4">
        <v>0</v>
      </c>
    </row>
    <row r="39" spans="12:27" x14ac:dyDescent="0.35">
      <c r="L39" s="8" t="s">
        <v>22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1</v>
      </c>
      <c r="V39" s="15">
        <v>0</v>
      </c>
      <c r="W39" s="12">
        <v>0</v>
      </c>
      <c r="X39" s="4">
        <v>0</v>
      </c>
    </row>
    <row r="40" spans="12:27" x14ac:dyDescent="0.35">
      <c r="L40" s="8" t="s">
        <v>23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15">
        <v>0</v>
      </c>
      <c r="W40" s="12">
        <v>0</v>
      </c>
      <c r="X40" s="4">
        <v>1</v>
      </c>
    </row>
    <row r="41" spans="12:27" x14ac:dyDescent="0.35">
      <c r="L41" s="8" t="s">
        <v>24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 s="15">
        <v>0</v>
      </c>
      <c r="W41" s="12">
        <v>0</v>
      </c>
      <c r="X41" s="4">
        <v>1</v>
      </c>
    </row>
    <row r="42" spans="12:27" x14ac:dyDescent="0.35">
      <c r="L42" s="8" t="s">
        <v>25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 s="15">
        <v>0</v>
      </c>
      <c r="W42" s="12">
        <v>0</v>
      </c>
      <c r="X42" s="4">
        <v>1</v>
      </c>
    </row>
    <row r="43" spans="12:27" x14ac:dyDescent="0.35">
      <c r="L43" s="8" t="s">
        <v>27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 s="15">
        <v>0</v>
      </c>
      <c r="W43" s="12">
        <v>0</v>
      </c>
      <c r="X43" s="4">
        <v>1</v>
      </c>
    </row>
    <row r="44" spans="12:27" x14ac:dyDescent="0.35">
      <c r="L44" s="8" t="s">
        <v>28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 s="15">
        <v>0</v>
      </c>
      <c r="W44" s="12">
        <v>0</v>
      </c>
      <c r="X44" s="4">
        <v>1</v>
      </c>
    </row>
    <row r="45" spans="12:27" x14ac:dyDescent="0.35">
      <c r="L45" s="8" t="s">
        <v>26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1</v>
      </c>
      <c r="U45">
        <v>0</v>
      </c>
      <c r="V45" s="15">
        <v>0</v>
      </c>
      <c r="W45" s="12">
        <v>0</v>
      </c>
      <c r="X45" s="4">
        <v>1</v>
      </c>
    </row>
    <row r="46" spans="12:27" x14ac:dyDescent="0.35">
      <c r="L46" s="8" t="s">
        <v>29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 s="15">
        <v>0</v>
      </c>
      <c r="W46" s="12">
        <v>0</v>
      </c>
      <c r="X46" s="4">
        <v>1</v>
      </c>
    </row>
    <row r="47" spans="12:27" x14ac:dyDescent="0.35">
      <c r="L47" s="8" t="s">
        <v>30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 s="15">
        <v>0</v>
      </c>
      <c r="W47" s="12">
        <v>0</v>
      </c>
      <c r="X47" s="4">
        <v>1</v>
      </c>
    </row>
    <row r="48" spans="12:27" x14ac:dyDescent="0.35">
      <c r="L48" s="9" t="s">
        <v>31</v>
      </c>
      <c r="M48" s="5">
        <v>1</v>
      </c>
      <c r="N48" s="5">
        <v>1</v>
      </c>
      <c r="O48" s="5">
        <v>1</v>
      </c>
      <c r="P48" s="5">
        <v>1</v>
      </c>
      <c r="Q48" s="5">
        <v>0</v>
      </c>
      <c r="R48" s="5">
        <v>0</v>
      </c>
      <c r="S48" s="5">
        <v>1</v>
      </c>
      <c r="T48" s="5">
        <v>1</v>
      </c>
      <c r="U48" s="5">
        <v>0</v>
      </c>
      <c r="V48" s="16">
        <v>0</v>
      </c>
      <c r="W48" s="13">
        <v>0</v>
      </c>
      <c r="X48" s="6">
        <v>0</v>
      </c>
      <c r="Y48" s="20" t="s">
        <v>57</v>
      </c>
      <c r="Z48" s="19" t="s">
        <v>58</v>
      </c>
      <c r="AA48" s="21" t="s">
        <v>59</v>
      </c>
    </row>
    <row r="49" spans="4:27" x14ac:dyDescent="0.35">
      <c r="L49" s="17" t="s">
        <v>56</v>
      </c>
      <c r="M49" s="17">
        <f>(SUM(M30:M48) / 19) *100</f>
        <v>100</v>
      </c>
      <c r="N49" s="17">
        <f t="shared" ref="N49:X49" si="1">(SUM(N30:N48) / 19) *100</f>
        <v>89.473684210526315</v>
      </c>
      <c r="O49" s="17">
        <f t="shared" si="1"/>
        <v>89.473684210526315</v>
      </c>
      <c r="P49" s="17">
        <f t="shared" si="1"/>
        <v>100</v>
      </c>
      <c r="Q49" s="17">
        <f t="shared" si="1"/>
        <v>89.473684210526315</v>
      </c>
      <c r="R49" s="17">
        <f t="shared" si="1"/>
        <v>89.473684210526315</v>
      </c>
      <c r="S49" s="17">
        <f t="shared" si="1"/>
        <v>78.94736842105263</v>
      </c>
      <c r="T49" s="17">
        <f t="shared" si="1"/>
        <v>84.210526315789465</v>
      </c>
      <c r="U49" s="17">
        <f t="shared" si="1"/>
        <v>63.157894736842103</v>
      </c>
      <c r="V49" s="17">
        <f t="shared" si="1"/>
        <v>0</v>
      </c>
      <c r="W49" s="17">
        <f t="shared" si="1"/>
        <v>0</v>
      </c>
      <c r="X49" s="17">
        <f t="shared" si="1"/>
        <v>84.210526315789465</v>
      </c>
      <c r="Y49" s="17">
        <f>AVERAGEA(M49:X49)</f>
        <v>72.368421052631575</v>
      </c>
      <c r="Z49" s="17">
        <f>AVERAGEA(M49:V49,X49)</f>
        <v>78.947368421052616</v>
      </c>
      <c r="AA49" s="17">
        <f>AVERAGEA(M49:U49,X49)</f>
        <v>86.84210526315789</v>
      </c>
    </row>
    <row r="53" spans="4:27" ht="18.5" x14ac:dyDescent="0.45">
      <c r="L53" s="18" t="s">
        <v>32</v>
      </c>
      <c r="M53" s="18">
        <v>1</v>
      </c>
      <c r="N53" s="18">
        <v>2</v>
      </c>
      <c r="O53" s="18">
        <v>3</v>
      </c>
      <c r="P53" s="18">
        <v>4</v>
      </c>
      <c r="Q53" s="18">
        <v>5</v>
      </c>
      <c r="R53" s="18">
        <v>6</v>
      </c>
      <c r="S53" s="18">
        <v>7</v>
      </c>
      <c r="T53" s="18">
        <v>8</v>
      </c>
      <c r="U53" s="18">
        <v>9</v>
      </c>
      <c r="V53" s="18">
        <v>10</v>
      </c>
      <c r="W53" s="18">
        <v>11</v>
      </c>
      <c r="X53" s="18">
        <v>12</v>
      </c>
    </row>
    <row r="54" spans="4:27" x14ac:dyDescent="0.35">
      <c r="D54" s="1"/>
      <c r="L54" s="7" t="s">
        <v>14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11">
        <v>0</v>
      </c>
      <c r="X54" s="3">
        <v>1</v>
      </c>
    </row>
    <row r="55" spans="4:27" x14ac:dyDescent="0.35">
      <c r="L55" s="8" t="s">
        <v>13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 s="12">
        <v>0</v>
      </c>
      <c r="X55" s="4">
        <v>1</v>
      </c>
    </row>
    <row r="56" spans="4:27" x14ac:dyDescent="0.35">
      <c r="L56" s="8" t="s">
        <v>33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 s="12">
        <v>0</v>
      </c>
      <c r="X56" s="4">
        <v>1</v>
      </c>
    </row>
    <row r="57" spans="4:27" x14ac:dyDescent="0.35">
      <c r="L57" s="8" t="s">
        <v>34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 s="12">
        <v>0</v>
      </c>
      <c r="X57" s="4">
        <v>1</v>
      </c>
    </row>
    <row r="58" spans="4:27" x14ac:dyDescent="0.35">
      <c r="L58" s="8" t="s">
        <v>35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 s="12">
        <v>0</v>
      </c>
      <c r="X58" s="4">
        <v>1</v>
      </c>
    </row>
    <row r="59" spans="4:27" x14ac:dyDescent="0.35">
      <c r="L59" s="8" t="s">
        <v>36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 s="12">
        <v>0</v>
      </c>
      <c r="X59" s="4">
        <v>1</v>
      </c>
    </row>
    <row r="60" spans="4:27" x14ac:dyDescent="0.35">
      <c r="L60" s="8" t="s">
        <v>37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 s="12">
        <v>0</v>
      </c>
      <c r="X60" s="4">
        <v>1</v>
      </c>
    </row>
    <row r="61" spans="4:27" x14ac:dyDescent="0.35">
      <c r="L61" s="8" t="s">
        <v>38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 s="12">
        <v>0</v>
      </c>
      <c r="X61" s="4">
        <v>1</v>
      </c>
    </row>
    <row r="62" spans="4:27" x14ac:dyDescent="0.35">
      <c r="L62" s="8" t="s">
        <v>39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 s="12">
        <v>0</v>
      </c>
      <c r="X62" s="4">
        <v>1</v>
      </c>
    </row>
    <row r="63" spans="4:27" x14ac:dyDescent="0.35">
      <c r="L63" s="8" t="s">
        <v>40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 s="12">
        <v>0</v>
      </c>
      <c r="X63" s="4">
        <v>1</v>
      </c>
    </row>
    <row r="64" spans="4:27" x14ac:dyDescent="0.35">
      <c r="L64" s="8" t="s">
        <v>41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W64" s="12">
        <v>0</v>
      </c>
      <c r="X64" s="4">
        <v>1</v>
      </c>
    </row>
    <row r="65" spans="12:27" x14ac:dyDescent="0.35">
      <c r="L65" s="8" t="s">
        <v>42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</v>
      </c>
      <c r="W65" s="12">
        <v>0</v>
      </c>
      <c r="X65" s="4">
        <v>1</v>
      </c>
    </row>
    <row r="66" spans="12:27" x14ac:dyDescent="0.35">
      <c r="L66" s="8" t="s">
        <v>43</v>
      </c>
      <c r="M66">
        <v>1</v>
      </c>
      <c r="N66">
        <v>0</v>
      </c>
      <c r="O66">
        <v>1</v>
      </c>
      <c r="P66">
        <v>1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 s="12">
        <v>0</v>
      </c>
      <c r="X66" s="4">
        <v>1</v>
      </c>
    </row>
    <row r="67" spans="12:27" x14ac:dyDescent="0.35">
      <c r="L67" s="8" t="s">
        <v>44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0</v>
      </c>
      <c r="W67" s="12">
        <v>0</v>
      </c>
      <c r="X67" s="4">
        <v>1</v>
      </c>
    </row>
    <row r="68" spans="12:27" x14ac:dyDescent="0.35">
      <c r="L68" s="8" t="s">
        <v>45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 s="12">
        <v>0</v>
      </c>
      <c r="X68" s="4">
        <v>1</v>
      </c>
    </row>
    <row r="69" spans="12:27" x14ac:dyDescent="0.35">
      <c r="L69" s="8" t="s">
        <v>46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 s="12">
        <v>0</v>
      </c>
      <c r="X69" s="4">
        <v>1</v>
      </c>
    </row>
    <row r="70" spans="12:27" x14ac:dyDescent="0.35">
      <c r="L70" s="8" t="s">
        <v>47</v>
      </c>
      <c r="M70">
        <v>1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0</v>
      </c>
      <c r="V70">
        <v>1</v>
      </c>
      <c r="W70" s="12">
        <v>0</v>
      </c>
      <c r="X70" s="4">
        <v>0</v>
      </c>
    </row>
    <row r="71" spans="12:27" x14ac:dyDescent="0.35">
      <c r="L71" s="8" t="s">
        <v>48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 s="12">
        <v>0</v>
      </c>
      <c r="X71" s="4">
        <v>1</v>
      </c>
    </row>
    <row r="72" spans="12:27" x14ac:dyDescent="0.35">
      <c r="L72" s="8" t="s">
        <v>49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1</v>
      </c>
      <c r="T72">
        <v>1</v>
      </c>
      <c r="U72">
        <v>1</v>
      </c>
      <c r="V72">
        <v>1</v>
      </c>
      <c r="W72" s="12">
        <v>0</v>
      </c>
      <c r="X72" s="4">
        <v>1</v>
      </c>
    </row>
    <row r="73" spans="12:27" x14ac:dyDescent="0.35">
      <c r="L73" s="8" t="s">
        <v>50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 s="12">
        <v>0</v>
      </c>
      <c r="X73" s="4">
        <v>1</v>
      </c>
    </row>
    <row r="74" spans="12:27" x14ac:dyDescent="0.35">
      <c r="L74" s="8" t="s">
        <v>51</v>
      </c>
      <c r="M74">
        <v>1</v>
      </c>
      <c r="N74">
        <v>1</v>
      </c>
      <c r="O74">
        <v>1</v>
      </c>
      <c r="P74">
        <v>1</v>
      </c>
      <c r="Q74">
        <v>1</v>
      </c>
      <c r="R74">
        <v>0</v>
      </c>
      <c r="S74">
        <v>1</v>
      </c>
      <c r="T74">
        <v>1</v>
      </c>
      <c r="U74">
        <v>0</v>
      </c>
      <c r="V74">
        <v>1</v>
      </c>
      <c r="W74" s="12">
        <v>0</v>
      </c>
      <c r="X74" s="4">
        <v>1</v>
      </c>
    </row>
    <row r="75" spans="12:27" x14ac:dyDescent="0.35">
      <c r="L75" s="8" t="s">
        <v>52</v>
      </c>
      <c r="M75">
        <v>1</v>
      </c>
      <c r="N75">
        <v>0</v>
      </c>
      <c r="O75">
        <v>1</v>
      </c>
      <c r="P75">
        <v>1</v>
      </c>
      <c r="Q75">
        <v>1</v>
      </c>
      <c r="R75">
        <v>0</v>
      </c>
      <c r="S75">
        <v>1</v>
      </c>
      <c r="T75">
        <v>1</v>
      </c>
      <c r="U75">
        <v>1</v>
      </c>
      <c r="V75">
        <v>1</v>
      </c>
      <c r="W75" s="12">
        <v>0</v>
      </c>
      <c r="X75" s="4">
        <v>1</v>
      </c>
    </row>
    <row r="76" spans="12:27" x14ac:dyDescent="0.35">
      <c r="L76" s="9" t="s">
        <v>53</v>
      </c>
      <c r="M76" s="10">
        <v>1</v>
      </c>
      <c r="N76" s="5">
        <v>0</v>
      </c>
      <c r="O76" s="5">
        <v>1</v>
      </c>
      <c r="P76" s="5">
        <v>1</v>
      </c>
      <c r="Q76" s="5">
        <v>1</v>
      </c>
      <c r="R76" s="5">
        <v>0</v>
      </c>
      <c r="S76" s="5">
        <v>1</v>
      </c>
      <c r="T76" s="5">
        <v>0</v>
      </c>
      <c r="U76" s="5">
        <v>1</v>
      </c>
      <c r="V76" s="5">
        <v>0</v>
      </c>
      <c r="W76" s="13">
        <v>0</v>
      </c>
      <c r="X76" s="6">
        <v>1</v>
      </c>
      <c r="Y76" s="20" t="s">
        <v>57</v>
      </c>
      <c r="Z76" s="19" t="s">
        <v>58</v>
      </c>
      <c r="AA76" s="21" t="s">
        <v>59</v>
      </c>
    </row>
    <row r="77" spans="12:27" x14ac:dyDescent="0.35">
      <c r="L77" s="17" t="s">
        <v>56</v>
      </c>
      <c r="M77" s="17">
        <f>(SUM(M54:M76)/23) * 100</f>
        <v>100</v>
      </c>
      <c r="N77" s="17">
        <f t="shared" ref="N77:X77" si="2">(SUM(N54:N76)/23) * 100</f>
        <v>86.956521739130437</v>
      </c>
      <c r="O77" s="17">
        <f t="shared" si="2"/>
        <v>100</v>
      </c>
      <c r="P77" s="17">
        <f t="shared" si="2"/>
        <v>100</v>
      </c>
      <c r="Q77" s="17">
        <f t="shared" si="2"/>
        <v>95.652173913043484</v>
      </c>
      <c r="R77" s="17">
        <f t="shared" si="2"/>
        <v>78.260869565217391</v>
      </c>
      <c r="S77" s="17">
        <f t="shared" si="2"/>
        <v>95.652173913043484</v>
      </c>
      <c r="T77" s="17">
        <f t="shared" si="2"/>
        <v>86.956521739130437</v>
      </c>
      <c r="U77" s="17">
        <f t="shared" si="2"/>
        <v>86.956521739130437</v>
      </c>
      <c r="V77" s="17">
        <f t="shared" si="2"/>
        <v>78.260869565217391</v>
      </c>
      <c r="W77" s="17">
        <f t="shared" si="2"/>
        <v>0</v>
      </c>
      <c r="X77" s="17">
        <f t="shared" si="2"/>
        <v>95.652173913043484</v>
      </c>
      <c r="Y77" s="17">
        <f>AVERAGEA(M77:X77)</f>
        <v>83.695652173913047</v>
      </c>
      <c r="Z77" s="17">
        <f>AVERAGEA(M77:V77,X77)</f>
        <v>91.304347826086968</v>
      </c>
      <c r="AA77" s="17">
        <f>AVERAGEA(M77:U77,X77)</f>
        <v>92.608695652173921</v>
      </c>
    </row>
  </sheetData>
  <mergeCells count="1">
    <mergeCell ref="G4:R4"/>
  </mergeCells>
  <pageMargins left="0.7" right="0.7" top="0.78740157499999996" bottom="0.78740157499999996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Grafy</vt:lpstr>
      </vt:variant>
      <vt:variant>
        <vt:i4>1</vt:i4>
      </vt:variant>
    </vt:vector>
  </HeadingPairs>
  <TitlesOfParts>
    <vt:vector size="2" baseType="lpstr">
      <vt:lpstr>List1</vt:lpstr>
      <vt:lpstr>Graf1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m9</dc:creator>
  <cp:lastModifiedBy>m9</cp:lastModifiedBy>
  <dcterms:created xsi:type="dcterms:W3CDTF">2024-08-18T14:16:57Z</dcterms:created>
  <dcterms:modified xsi:type="dcterms:W3CDTF">2024-08-18T16:07:56Z</dcterms:modified>
</cp:coreProperties>
</file>