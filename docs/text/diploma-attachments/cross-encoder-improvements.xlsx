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AA\master-thesis\docs\text\diploma-attachments\"/>
    </mc:Choice>
  </mc:AlternateContent>
  <xr:revisionPtr revIDLastSave="0" documentId="13_ncr:1_{DF2DED29-A279-4DF4-A751-B5B2B7829B86}" xr6:coauthVersionLast="47" xr6:coauthVersionMax="47" xr10:uidLastSave="{00000000-0000-0000-0000-000000000000}"/>
  <bookViews>
    <workbookView xWindow="28680" yWindow="-120" windowWidth="29040" windowHeight="15990" xr2:uid="{A1D76B35-4FF5-40A4-BD1A-EC3F7AF95CD8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1" i="1" l="1"/>
  <c r="H31" i="1"/>
  <c r="I25" i="1"/>
  <c r="I26" i="1"/>
  <c r="I27" i="1"/>
  <c r="I28" i="1"/>
  <c r="I29" i="1"/>
  <c r="I30" i="1"/>
  <c r="I24" i="1"/>
  <c r="H25" i="1"/>
  <c r="H26" i="1"/>
  <c r="H27" i="1"/>
  <c r="H28" i="1"/>
  <c r="H29" i="1"/>
  <c r="H30" i="1"/>
  <c r="H2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D36" i="1"/>
  <c r="AD37" i="1"/>
  <c r="AD38" i="1"/>
  <c r="AD39" i="1"/>
  <c r="AD35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D16" i="1"/>
  <c r="AD17" i="1"/>
  <c r="AD18" i="1"/>
  <c r="AD19" i="1"/>
  <c r="AD15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D26" i="1"/>
  <c r="AD27" i="1"/>
  <c r="AD28" i="1"/>
  <c r="AD29" i="1"/>
  <c r="AD25" i="1"/>
  <c r="U25" i="1"/>
  <c r="V25" i="1"/>
  <c r="W25" i="1"/>
  <c r="U26" i="1"/>
  <c r="V26" i="1"/>
  <c r="W26" i="1"/>
  <c r="U27" i="1"/>
  <c r="V27" i="1"/>
  <c r="W27" i="1"/>
  <c r="U28" i="1"/>
  <c r="V28" i="1"/>
  <c r="W28" i="1"/>
  <c r="U29" i="1"/>
  <c r="V29" i="1"/>
  <c r="W29" i="1"/>
  <c r="T26" i="1"/>
  <c r="T27" i="1"/>
  <c r="T28" i="1"/>
  <c r="T29" i="1"/>
  <c r="T25" i="1"/>
  <c r="V15" i="1"/>
  <c r="W15" i="1"/>
  <c r="V16" i="1"/>
  <c r="W16" i="1"/>
  <c r="V17" i="1"/>
  <c r="W17" i="1"/>
  <c r="V18" i="1"/>
  <c r="W18" i="1"/>
  <c r="V19" i="1"/>
  <c r="W19" i="1"/>
  <c r="U19" i="1"/>
  <c r="U18" i="1"/>
  <c r="U17" i="1"/>
  <c r="U16" i="1"/>
  <c r="U15" i="1"/>
  <c r="T16" i="1"/>
  <c r="T17" i="1"/>
  <c r="T18" i="1"/>
  <c r="T19" i="1"/>
  <c r="T15" i="1"/>
  <c r="O25" i="1"/>
  <c r="O26" i="1"/>
  <c r="O27" i="1"/>
  <c r="O28" i="1"/>
  <c r="O29" i="1"/>
  <c r="O30" i="1"/>
  <c r="N25" i="1"/>
  <c r="N26" i="1"/>
  <c r="N27" i="1"/>
  <c r="N28" i="1"/>
  <c r="N29" i="1"/>
  <c r="N30" i="1"/>
  <c r="O24" i="1"/>
  <c r="N24" i="1"/>
  <c r="M30" i="1"/>
  <c r="M25" i="1"/>
  <c r="M26" i="1"/>
  <c r="M27" i="1"/>
  <c r="M28" i="1"/>
  <c r="M29" i="1"/>
  <c r="M24" i="1"/>
  <c r="G25" i="1"/>
  <c r="G26" i="1"/>
  <c r="G27" i="1"/>
  <c r="G28" i="1"/>
  <c r="G29" i="1"/>
  <c r="G30" i="1"/>
  <c r="F25" i="1"/>
  <c r="F26" i="1"/>
  <c r="F27" i="1"/>
  <c r="F28" i="1"/>
  <c r="F29" i="1"/>
  <c r="F30" i="1"/>
  <c r="E25" i="1"/>
  <c r="E26" i="1"/>
  <c r="E27" i="1"/>
  <c r="E28" i="1"/>
  <c r="E29" i="1"/>
  <c r="E30" i="1"/>
  <c r="G24" i="1"/>
  <c r="F24" i="1"/>
  <c r="E24" i="1"/>
  <c r="D25" i="1"/>
  <c r="D26" i="1"/>
  <c r="D27" i="1"/>
  <c r="D28" i="1"/>
  <c r="D29" i="1"/>
  <c r="D30" i="1"/>
  <c r="D24" i="1"/>
  <c r="AD30" i="1" l="1"/>
  <c r="T20" i="1"/>
  <c r="V30" i="1"/>
  <c r="AF20" i="1"/>
  <c r="F31" i="1"/>
  <c r="AE20" i="1"/>
  <c r="U30" i="1"/>
  <c r="AD40" i="1"/>
  <c r="AG40" i="1"/>
  <c r="AF40" i="1"/>
  <c r="AE40" i="1"/>
  <c r="G31" i="1"/>
  <c r="T30" i="1"/>
  <c r="AD20" i="1"/>
  <c r="AG30" i="1"/>
  <c r="N31" i="1"/>
  <c r="W20" i="1"/>
  <c r="AF30" i="1"/>
  <c r="D31" i="1"/>
  <c r="M31" i="1"/>
  <c r="O31" i="1"/>
  <c r="V20" i="1"/>
  <c r="AE30" i="1"/>
  <c r="U20" i="1"/>
  <c r="W30" i="1"/>
  <c r="AG20" i="1"/>
  <c r="E31" i="1"/>
</calcChain>
</file>

<file path=xl/sharedStrings.xml><?xml version="1.0" encoding="utf-8"?>
<sst xmlns="http://schemas.openxmlformats.org/spreadsheetml/2006/main" count="220" uniqueCount="83">
  <si>
    <t>0.564</t>
  </si>
  <si>
    <t>0.557</t>
  </si>
  <si>
    <t>0.509</t>
  </si>
  <si>
    <t>0.539</t>
  </si>
  <si>
    <t>0.532</t>
  </si>
  <si>
    <t>0.476</t>
  </si>
  <si>
    <t>0.28</t>
  </si>
  <si>
    <t>0.832</t>
  </si>
  <si>
    <t>0.819</t>
  </si>
  <si>
    <t>0.76</t>
  </si>
  <si>
    <t>0.804</t>
  </si>
  <si>
    <t>0.793</t>
  </si>
  <si>
    <t>0.712</t>
  </si>
  <si>
    <t>0.438</t>
  </si>
  <si>
    <t>0.23</t>
  </si>
  <si>
    <t>0.231</t>
  </si>
  <si>
    <t>0.198</t>
  </si>
  <si>
    <t>0.209</t>
  </si>
  <si>
    <t>0.184</t>
  </si>
  <si>
    <t>0.083</t>
  </si>
  <si>
    <t>75.66</t>
  </si>
  <si>
    <t>72.82</t>
  </si>
  <si>
    <t>71.68</t>
  </si>
  <si>
    <t>71.62</t>
  </si>
  <si>
    <t>72.41</t>
  </si>
  <si>
    <t>42.83</t>
  </si>
  <si>
    <t>0.673</t>
  </si>
  <si>
    <t>0.674</t>
  </si>
  <si>
    <t>0.652</t>
  </si>
  <si>
    <t>0.645</t>
  </si>
  <si>
    <t>0.648</t>
  </si>
  <si>
    <t>0.66</t>
  </si>
  <si>
    <t>0.366</t>
  </si>
  <si>
    <t>0.924</t>
  </si>
  <si>
    <t>0.926</t>
  </si>
  <si>
    <t>0.905</t>
  </si>
  <si>
    <t>0.906</t>
  </si>
  <si>
    <t>0.901</t>
  </si>
  <si>
    <t>0.899</t>
  </si>
  <si>
    <t>0.570</t>
  </si>
  <si>
    <t>0.399</t>
  </si>
  <si>
    <t>0.375</t>
  </si>
  <si>
    <t>0.334</t>
  </si>
  <si>
    <t>0.363</t>
  </si>
  <si>
    <t>0.113</t>
  </si>
  <si>
    <t>83.02</t>
  </si>
  <si>
    <t>83.15</t>
  </si>
  <si>
    <t>81.63</t>
  </si>
  <si>
    <t>79.04</t>
  </si>
  <si>
    <t>79.7</t>
  </si>
  <si>
    <t>82.55</t>
  </si>
  <si>
    <t>53.38</t>
  </si>
  <si>
    <t>triple</t>
  </si>
  <si>
    <t>tuple</t>
  </si>
  <si>
    <t>dense bm</t>
  </si>
  <si>
    <t>sparse bm</t>
  </si>
  <si>
    <t>sparse</t>
  </si>
  <si>
    <t>dese</t>
  </si>
  <si>
    <t>bm</t>
  </si>
  <si>
    <t>bm25</t>
  </si>
  <si>
    <t>dense</t>
  </si>
  <si>
    <t>overall</t>
  </si>
  <si>
    <t>mecch</t>
  </si>
  <si>
    <t>users</t>
  </si>
  <si>
    <t>succ</t>
  </si>
  <si>
    <t>best</t>
  </si>
  <si>
    <t>avg</t>
  </si>
  <si>
    <t>No-rerank</t>
  </si>
  <si>
    <t>Boost (0.5)</t>
  </si>
  <si>
    <t>Average improvement from boost to no-rerank</t>
  </si>
  <si>
    <t>avg over avg</t>
  </si>
  <si>
    <t>No-rerank users-best</t>
  </si>
  <si>
    <t>Boost (0.5) users-best</t>
  </si>
  <si>
    <t>Average improvement from users-best boost to no-rerank</t>
  </si>
  <si>
    <t>Cross-encoder and no boost</t>
  </si>
  <si>
    <t>Cross-encoder + boost (0.5)</t>
  </si>
  <si>
    <t>(Cross-encoder and no boost) to no-rerank</t>
  </si>
  <si>
    <t>(Cross-encoder and no boost) to boost (0.5)</t>
  </si>
  <si>
    <t>(Cross-encoder + boost (0.5)) to no-rerank</t>
  </si>
  <si>
    <t>(Cross-encoder + boost (0.5)) to boost (0.5)</t>
  </si>
  <si>
    <t>(Cross-encoder + boost (0.5)) to (cross + no boost)</t>
  </si>
  <si>
    <t>succ_mech</t>
  </si>
  <si>
    <t>succ_users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</si>
</sst>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1" xfId="0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/>
    <xf numFmtId="0" fontId="0" fillId="0" borderId="7" xfId="0" applyBorder="1" applyAlignment="1">
      <alignment vertical="center"/>
    </xf>
    <xf numFmtId="0" fontId="0" fillId="0" borderId="8" xfId="0" applyBorder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/>
    <xf numFmtId="0" fontId="0" fillId="0" borderId="0" xfId="0" applyBorder="1"/>
    <xf numFmtId="0" fontId="0" fillId="0" borderId="5" xfId="0" applyBorder="1" applyAlignment="1">
      <alignment vertical="center"/>
    </xf>
    <xf numFmtId="0" fontId="0" fillId="0" borderId="13" xfId="0" applyBorder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504D2-675A-434A-8F61-FABF9CFEC79B}">
  <dimension ref="C2:AI41"/>
  <sheetViews>
    <sheetView tabSelected="1" topLeftCell="S1" zoomScale="85" zoomScaleNormal="85" workbookViewId="0">
      <selection activeCell="AL15" sqref="AL15"/>
    </sheetView>
  </sheetViews>
  <sheetFormatPr defaultRowHeight="14.5" x14ac:dyDescent="0.35"/>
  <cols>
    <col min="2" max="2" width="8.7265625" customWidth="1"/>
    <col min="3" max="3" width="12.6328125" customWidth="1"/>
    <col min="4" max="4" width="9.26953125" customWidth="1"/>
    <col min="8" max="9" width="12.26953125" customWidth="1"/>
    <col min="10" max="10" width="15.7265625" customWidth="1"/>
    <col min="25" max="25" width="11.7265625" customWidth="1"/>
    <col min="34" max="34" width="14.81640625" customWidth="1"/>
    <col min="35" max="35" width="10.81640625" customWidth="1"/>
  </cols>
  <sheetData>
    <row r="2" spans="3:35" x14ac:dyDescent="0.35">
      <c r="C2" s="5" t="s">
        <v>67</v>
      </c>
      <c r="L2" s="5" t="s">
        <v>71</v>
      </c>
      <c r="S2" s="5" t="s">
        <v>74</v>
      </c>
      <c r="AC2" s="5" t="s">
        <v>75</v>
      </c>
    </row>
    <row r="3" spans="3:35" x14ac:dyDescent="0.35">
      <c r="C3" s="10"/>
      <c r="D3" s="10" t="s">
        <v>61</v>
      </c>
      <c r="E3" s="10" t="s">
        <v>62</v>
      </c>
      <c r="F3" s="10" t="s">
        <v>63</v>
      </c>
      <c r="G3" s="10" t="s">
        <v>64</v>
      </c>
      <c r="H3" s="12" t="s">
        <v>81</v>
      </c>
      <c r="I3" s="12" t="s">
        <v>82</v>
      </c>
      <c r="L3" s="12"/>
      <c r="M3" s="12" t="s">
        <v>63</v>
      </c>
      <c r="N3" s="12" t="s">
        <v>65</v>
      </c>
      <c r="O3" s="12" t="s">
        <v>64</v>
      </c>
      <c r="S3" s="10"/>
      <c r="T3" s="10" t="s">
        <v>61</v>
      </c>
      <c r="U3" s="10" t="s">
        <v>62</v>
      </c>
      <c r="V3" s="10" t="s">
        <v>63</v>
      </c>
      <c r="W3" s="10" t="s">
        <v>64</v>
      </c>
      <c r="X3" s="12" t="s">
        <v>81</v>
      </c>
      <c r="Y3" s="12" t="s">
        <v>82</v>
      </c>
      <c r="AC3" s="10"/>
      <c r="AD3" s="10" t="s">
        <v>61</v>
      </c>
      <c r="AE3" s="10" t="s">
        <v>62</v>
      </c>
      <c r="AF3" s="10" t="s">
        <v>63</v>
      </c>
      <c r="AG3" s="10" t="s">
        <v>64</v>
      </c>
      <c r="AH3" s="12" t="s">
        <v>81</v>
      </c>
      <c r="AI3" s="12" t="s">
        <v>82</v>
      </c>
    </row>
    <row r="4" spans="3:35" x14ac:dyDescent="0.35">
      <c r="C4" s="18" t="s">
        <v>52</v>
      </c>
      <c r="D4" s="1" t="s">
        <v>0</v>
      </c>
      <c r="E4" s="1" t="s">
        <v>7</v>
      </c>
      <c r="F4" s="1" t="s">
        <v>14</v>
      </c>
      <c r="G4" s="27" t="s">
        <v>20</v>
      </c>
      <c r="H4" s="21">
        <v>96.41</v>
      </c>
      <c r="I4" s="2">
        <v>49.7</v>
      </c>
      <c r="L4" s="14" t="s">
        <v>52</v>
      </c>
      <c r="M4" s="1">
        <v>0.23</v>
      </c>
      <c r="N4" s="1">
        <v>0.58199999999999996</v>
      </c>
      <c r="O4" s="2">
        <v>87.5</v>
      </c>
      <c r="S4" s="18" t="s">
        <v>52</v>
      </c>
      <c r="T4">
        <v>0.60699999999999998</v>
      </c>
      <c r="U4">
        <v>0.86699999999999999</v>
      </c>
      <c r="V4">
        <v>0.28499999999999998</v>
      </c>
      <c r="W4" s="24">
        <v>77.25</v>
      </c>
      <c r="X4" s="21">
        <v>96.05</v>
      </c>
      <c r="Y4" s="2">
        <v>53.86</v>
      </c>
      <c r="AC4" s="18" t="s">
        <v>52</v>
      </c>
      <c r="AD4">
        <v>0.62</v>
      </c>
      <c r="AE4">
        <v>0.871</v>
      </c>
      <c r="AF4">
        <v>0.307</v>
      </c>
      <c r="AG4" s="24">
        <v>81.69</v>
      </c>
      <c r="AH4" s="21">
        <v>96.88</v>
      </c>
      <c r="AI4" s="19">
        <v>62.79</v>
      </c>
    </row>
    <row r="5" spans="3:35" x14ac:dyDescent="0.35">
      <c r="C5" s="16" t="s">
        <v>53</v>
      </c>
      <c r="D5" s="1" t="s">
        <v>1</v>
      </c>
      <c r="E5" s="1" t="s">
        <v>8</v>
      </c>
      <c r="F5" s="1" t="s">
        <v>15</v>
      </c>
      <c r="G5" s="21" t="s">
        <v>20</v>
      </c>
      <c r="H5" s="21">
        <v>96.29</v>
      </c>
      <c r="I5" s="2">
        <v>48.95</v>
      </c>
      <c r="L5" s="15" t="s">
        <v>53</v>
      </c>
      <c r="M5" s="1">
        <v>0.23100000000000001</v>
      </c>
      <c r="N5" s="1">
        <v>0.55500000000000005</v>
      </c>
      <c r="O5" s="2">
        <v>87.5</v>
      </c>
      <c r="S5" s="16" t="s">
        <v>53</v>
      </c>
      <c r="T5">
        <v>0.60499999999999998</v>
      </c>
      <c r="U5">
        <v>0.86599999999999999</v>
      </c>
      <c r="V5">
        <v>0.28000000000000003</v>
      </c>
      <c r="W5" s="25">
        <v>76.72</v>
      </c>
      <c r="X5" s="21">
        <v>95.81</v>
      </c>
      <c r="Y5" s="2">
        <v>52.97</v>
      </c>
      <c r="AC5" s="16" t="s">
        <v>53</v>
      </c>
      <c r="AD5">
        <v>0.62</v>
      </c>
      <c r="AE5">
        <v>0.87</v>
      </c>
      <c r="AF5">
        <v>0.309</v>
      </c>
      <c r="AG5" s="25">
        <v>81.89</v>
      </c>
      <c r="AH5" s="21">
        <v>96.77</v>
      </c>
      <c r="AI5" s="2">
        <v>63.39</v>
      </c>
    </row>
    <row r="6" spans="3:35" x14ac:dyDescent="0.35">
      <c r="C6" s="16" t="s">
        <v>54</v>
      </c>
      <c r="D6" s="1" t="s">
        <v>2</v>
      </c>
      <c r="E6" s="1" t="s">
        <v>9</v>
      </c>
      <c r="F6" s="1" t="s">
        <v>16</v>
      </c>
      <c r="G6" s="21" t="s">
        <v>21</v>
      </c>
      <c r="H6" s="21">
        <v>95.93</v>
      </c>
      <c r="I6" s="2">
        <v>45.38</v>
      </c>
      <c r="L6" s="15" t="s">
        <v>54</v>
      </c>
      <c r="M6" s="1">
        <v>0.19800000000000001</v>
      </c>
      <c r="N6" s="1">
        <v>0.47299999999999998</v>
      </c>
      <c r="O6" s="2">
        <v>79.459999999999994</v>
      </c>
      <c r="S6" s="16"/>
      <c r="T6">
        <v>0</v>
      </c>
      <c r="U6">
        <v>0</v>
      </c>
      <c r="V6">
        <v>0</v>
      </c>
      <c r="W6" s="25">
        <v>0</v>
      </c>
      <c r="X6" s="25">
        <v>0</v>
      </c>
      <c r="Y6" s="6">
        <v>0</v>
      </c>
      <c r="AC6" s="16"/>
      <c r="AD6">
        <v>0</v>
      </c>
      <c r="AE6">
        <v>0</v>
      </c>
      <c r="AF6">
        <v>0</v>
      </c>
      <c r="AG6" s="25">
        <v>0</v>
      </c>
      <c r="AH6" s="25">
        <v>0</v>
      </c>
      <c r="AI6" s="6">
        <v>0</v>
      </c>
    </row>
    <row r="7" spans="3:35" x14ac:dyDescent="0.35">
      <c r="C7" s="16" t="s">
        <v>55</v>
      </c>
      <c r="D7" s="1" t="s">
        <v>3</v>
      </c>
      <c r="E7" s="1" t="s">
        <v>10</v>
      </c>
      <c r="F7" s="1" t="s">
        <v>17</v>
      </c>
      <c r="G7" s="21" t="s">
        <v>22</v>
      </c>
      <c r="H7" s="21">
        <v>95.69</v>
      </c>
      <c r="I7" s="2">
        <v>41.81</v>
      </c>
      <c r="L7" s="15" t="s">
        <v>55</v>
      </c>
      <c r="M7" s="1">
        <v>0.20899999999999999</v>
      </c>
      <c r="N7" s="1">
        <v>0.52900000000000003</v>
      </c>
      <c r="O7" s="2">
        <v>83.03</v>
      </c>
      <c r="S7" s="16"/>
      <c r="T7">
        <v>0</v>
      </c>
      <c r="U7">
        <v>0</v>
      </c>
      <c r="V7">
        <v>0</v>
      </c>
      <c r="W7" s="25">
        <v>0</v>
      </c>
      <c r="X7" s="25">
        <v>0</v>
      </c>
      <c r="Y7" s="6">
        <v>0</v>
      </c>
      <c r="AC7" s="16"/>
      <c r="AD7">
        <v>0</v>
      </c>
      <c r="AE7">
        <v>0</v>
      </c>
      <c r="AF7">
        <v>0</v>
      </c>
      <c r="AG7" s="25">
        <v>0</v>
      </c>
      <c r="AH7" s="25">
        <v>0</v>
      </c>
      <c r="AI7" s="6">
        <v>0</v>
      </c>
    </row>
    <row r="8" spans="3:35" x14ac:dyDescent="0.35">
      <c r="C8" s="16" t="s">
        <v>56</v>
      </c>
      <c r="D8" s="1" t="s">
        <v>4</v>
      </c>
      <c r="E8" s="1" t="s">
        <v>11</v>
      </c>
      <c r="F8" s="1" t="s">
        <v>17</v>
      </c>
      <c r="G8" s="21" t="s">
        <v>23</v>
      </c>
      <c r="H8" s="21">
        <v>95.57</v>
      </c>
      <c r="I8" s="2">
        <v>41.81</v>
      </c>
      <c r="L8" s="15" t="s">
        <v>56</v>
      </c>
      <c r="M8" s="1">
        <v>0.20899999999999999</v>
      </c>
      <c r="N8" s="1">
        <v>0.54200000000000004</v>
      </c>
      <c r="O8" s="2">
        <v>83.03</v>
      </c>
      <c r="S8" s="16" t="s">
        <v>56</v>
      </c>
      <c r="T8">
        <v>0.60099999999999998</v>
      </c>
      <c r="U8">
        <v>0.86299999999999999</v>
      </c>
      <c r="V8">
        <v>0.254</v>
      </c>
      <c r="W8" s="25">
        <v>73.540000000000006</v>
      </c>
      <c r="X8" s="21">
        <v>95.45</v>
      </c>
      <c r="Y8" s="2">
        <v>46.27</v>
      </c>
      <c r="AC8" s="16" t="s">
        <v>56</v>
      </c>
      <c r="AD8">
        <v>0.61299999999999999</v>
      </c>
      <c r="AE8">
        <v>0.871</v>
      </c>
      <c r="AF8">
        <v>0.29299999999999998</v>
      </c>
      <c r="AG8" s="25">
        <v>79.040000000000006</v>
      </c>
      <c r="AH8" s="21">
        <v>96.29</v>
      </c>
      <c r="AI8" s="2">
        <v>57.58</v>
      </c>
    </row>
    <row r="9" spans="3:35" x14ac:dyDescent="0.35">
      <c r="C9" s="16" t="s">
        <v>57</v>
      </c>
      <c r="D9" s="1" t="s">
        <v>5</v>
      </c>
      <c r="E9" s="1" t="s">
        <v>12</v>
      </c>
      <c r="F9" s="1" t="s">
        <v>18</v>
      </c>
      <c r="G9" s="21" t="s">
        <v>24</v>
      </c>
      <c r="H9" s="21">
        <v>94.13</v>
      </c>
      <c r="I9" s="2">
        <v>45.53</v>
      </c>
      <c r="L9" s="15" t="s">
        <v>57</v>
      </c>
      <c r="M9" s="1">
        <v>0.184</v>
      </c>
      <c r="N9" s="1">
        <v>0.44</v>
      </c>
      <c r="O9" s="2">
        <v>79.459999999999994</v>
      </c>
      <c r="S9" s="16" t="s">
        <v>60</v>
      </c>
      <c r="T9">
        <v>0.59199999999999997</v>
      </c>
      <c r="U9">
        <v>0.86599999999999999</v>
      </c>
      <c r="V9">
        <v>0.27200000000000002</v>
      </c>
      <c r="W9" s="25">
        <v>74.73</v>
      </c>
      <c r="X9" s="21">
        <v>95.45</v>
      </c>
      <c r="Y9" s="2">
        <v>48.95</v>
      </c>
      <c r="AC9" s="16" t="s">
        <v>60</v>
      </c>
      <c r="AD9">
        <v>0.62</v>
      </c>
      <c r="AE9">
        <v>0.872</v>
      </c>
      <c r="AF9">
        <v>0.307</v>
      </c>
      <c r="AG9" s="25">
        <v>80.959999999999994</v>
      </c>
      <c r="AH9" s="21">
        <v>96.88</v>
      </c>
      <c r="AI9" s="2">
        <v>61.16</v>
      </c>
    </row>
    <row r="10" spans="3:35" x14ac:dyDescent="0.35">
      <c r="C10" s="11" t="s">
        <v>59</v>
      </c>
      <c r="D10" s="3" t="s">
        <v>6</v>
      </c>
      <c r="E10" s="3" t="s">
        <v>13</v>
      </c>
      <c r="F10" s="3" t="s">
        <v>19</v>
      </c>
      <c r="G10" s="3" t="s">
        <v>25</v>
      </c>
      <c r="H10" s="3">
        <v>65.069999999999993</v>
      </c>
      <c r="I10" s="4">
        <v>15.17</v>
      </c>
      <c r="L10" s="17" t="s">
        <v>59</v>
      </c>
      <c r="M10" s="3">
        <v>8.3000000000000004E-2</v>
      </c>
      <c r="N10" s="3">
        <v>0.245</v>
      </c>
      <c r="O10" s="4">
        <v>35.71</v>
      </c>
      <c r="S10" s="11" t="s">
        <v>59</v>
      </c>
      <c r="T10" s="7">
        <v>0.42699999999999999</v>
      </c>
      <c r="U10" s="7">
        <v>0.66400000000000003</v>
      </c>
      <c r="V10" s="7">
        <v>0.13200000000000001</v>
      </c>
      <c r="W10" s="7">
        <v>45.82</v>
      </c>
      <c r="X10" s="3">
        <v>68.77</v>
      </c>
      <c r="Y10" s="4">
        <v>17.260000000000002</v>
      </c>
      <c r="AC10" s="11" t="s">
        <v>59</v>
      </c>
      <c r="AD10" s="7">
        <v>0.48599999999999999</v>
      </c>
      <c r="AE10" s="7">
        <v>0.74099999999999999</v>
      </c>
      <c r="AF10" s="7">
        <v>0.16800000000000001</v>
      </c>
      <c r="AG10" s="7">
        <v>54.04</v>
      </c>
      <c r="AH10" s="3">
        <v>78.58</v>
      </c>
      <c r="AI10" s="4">
        <v>23.51</v>
      </c>
    </row>
    <row r="11" spans="3:35" x14ac:dyDescent="0.35">
      <c r="D11" s="1"/>
      <c r="E11" s="1"/>
      <c r="F11" s="1"/>
      <c r="G11" s="1"/>
      <c r="H11" s="1"/>
      <c r="I11" s="1"/>
      <c r="L11" s="1"/>
      <c r="M11" s="1"/>
      <c r="N11" s="1"/>
      <c r="O11" s="1"/>
    </row>
    <row r="12" spans="3:35" x14ac:dyDescent="0.35">
      <c r="C12" s="5" t="s">
        <v>68</v>
      </c>
      <c r="D12" s="1"/>
      <c r="E12" s="1"/>
      <c r="F12" s="1"/>
      <c r="G12" s="1"/>
      <c r="H12" s="1"/>
      <c r="I12" s="1"/>
      <c r="L12" s="13" t="s">
        <v>72</v>
      </c>
      <c r="M12" s="1"/>
      <c r="N12" s="1"/>
      <c r="O12" s="1"/>
    </row>
    <row r="13" spans="3:35" x14ac:dyDescent="0.35">
      <c r="C13" s="10"/>
      <c r="D13" s="10" t="s">
        <v>61</v>
      </c>
      <c r="E13" s="10" t="s">
        <v>62</v>
      </c>
      <c r="F13" s="10" t="s">
        <v>63</v>
      </c>
      <c r="G13" s="10" t="s">
        <v>64</v>
      </c>
      <c r="H13" s="12" t="s">
        <v>81</v>
      </c>
      <c r="I13" s="12" t="s">
        <v>82</v>
      </c>
      <c r="L13" s="12"/>
      <c r="M13" s="12" t="s">
        <v>63</v>
      </c>
      <c r="N13" s="12" t="s">
        <v>65</v>
      </c>
      <c r="O13" s="12" t="s">
        <v>64</v>
      </c>
      <c r="S13" s="5" t="s">
        <v>76</v>
      </c>
      <c r="AC13" s="5" t="s">
        <v>78</v>
      </c>
    </row>
    <row r="14" spans="3:35" x14ac:dyDescent="0.35">
      <c r="C14" s="18" t="s">
        <v>52</v>
      </c>
      <c r="D14" s="1" t="s">
        <v>26</v>
      </c>
      <c r="E14" s="1" t="s">
        <v>33</v>
      </c>
      <c r="F14" s="1" t="s">
        <v>40</v>
      </c>
      <c r="G14" s="27" t="s">
        <v>45</v>
      </c>
      <c r="H14" s="21">
        <v>98.56</v>
      </c>
      <c r="I14" s="2">
        <v>63.69</v>
      </c>
      <c r="L14" s="14" t="s">
        <v>52</v>
      </c>
      <c r="M14" s="1">
        <v>0.39900000000000002</v>
      </c>
      <c r="N14" s="1">
        <v>0.74199999999999999</v>
      </c>
      <c r="O14" s="2">
        <v>92.85</v>
      </c>
      <c r="S14" s="10"/>
      <c r="T14" s="10" t="s">
        <v>61</v>
      </c>
      <c r="U14" s="10" t="s">
        <v>62</v>
      </c>
      <c r="V14" s="10" t="s">
        <v>63</v>
      </c>
      <c r="W14" s="10" t="s">
        <v>64</v>
      </c>
      <c r="X14" s="12" t="s">
        <v>81</v>
      </c>
      <c r="Y14" s="12" t="s">
        <v>82</v>
      </c>
      <c r="AC14" s="10"/>
      <c r="AD14" s="10" t="s">
        <v>61</v>
      </c>
      <c r="AE14" s="10" t="s">
        <v>62</v>
      </c>
      <c r="AF14" s="10" t="s">
        <v>63</v>
      </c>
      <c r="AG14" s="10" t="s">
        <v>64</v>
      </c>
      <c r="AH14" s="12" t="s">
        <v>81</v>
      </c>
      <c r="AI14" s="12" t="s">
        <v>82</v>
      </c>
    </row>
    <row r="15" spans="3:35" x14ac:dyDescent="0.35">
      <c r="C15" s="16" t="s">
        <v>53</v>
      </c>
      <c r="D15" s="1" t="s">
        <v>27</v>
      </c>
      <c r="E15" s="1" t="s">
        <v>34</v>
      </c>
      <c r="F15" s="1" t="s">
        <v>41</v>
      </c>
      <c r="G15" s="21" t="s">
        <v>46</v>
      </c>
      <c r="H15" s="21">
        <v>98.44</v>
      </c>
      <c r="I15" s="2">
        <v>64.13</v>
      </c>
      <c r="L15" s="15" t="s">
        <v>53</v>
      </c>
      <c r="M15" s="1">
        <v>0.375</v>
      </c>
      <c r="N15" s="1">
        <v>0.749</v>
      </c>
      <c r="O15" s="2">
        <v>92.85</v>
      </c>
      <c r="S15" s="16" t="s">
        <v>52</v>
      </c>
      <c r="T15">
        <f>T4-D4</f>
        <v>4.3000000000000038E-2</v>
      </c>
      <c r="U15">
        <f>U4-E4</f>
        <v>3.5000000000000031E-2</v>
      </c>
      <c r="V15">
        <f>V4-F4</f>
        <v>5.4999999999999966E-2</v>
      </c>
      <c r="W15" s="24">
        <f>W4-G4</f>
        <v>1.5900000000000034</v>
      </c>
      <c r="X15" s="21"/>
      <c r="Y15" s="2"/>
      <c r="AC15" s="16" t="s">
        <v>52</v>
      </c>
      <c r="AD15">
        <f>AD4-D4</f>
        <v>5.600000000000005E-2</v>
      </c>
      <c r="AE15">
        <f>AE4-E4</f>
        <v>3.9000000000000035E-2</v>
      </c>
      <c r="AF15">
        <f>AF4-F4</f>
        <v>7.6999999999999985E-2</v>
      </c>
      <c r="AG15" s="24">
        <f>AG4-G4</f>
        <v>6.0300000000000011</v>
      </c>
      <c r="AH15" s="21"/>
      <c r="AI15" s="2"/>
    </row>
    <row r="16" spans="3:35" x14ac:dyDescent="0.35">
      <c r="C16" s="16" t="s">
        <v>54</v>
      </c>
      <c r="D16" s="1" t="s">
        <v>28</v>
      </c>
      <c r="E16" s="1" t="s">
        <v>35</v>
      </c>
      <c r="F16" s="1">
        <v>0.35299999999999998</v>
      </c>
      <c r="G16" s="21" t="s">
        <v>47</v>
      </c>
      <c r="H16" s="21">
        <v>98.56</v>
      </c>
      <c r="I16" s="2">
        <v>64.28</v>
      </c>
      <c r="L16" s="15" t="s">
        <v>54</v>
      </c>
      <c r="M16" s="1">
        <v>0.35299999999999998</v>
      </c>
      <c r="N16" s="1">
        <v>0.754</v>
      </c>
      <c r="O16" s="2">
        <v>91.96</v>
      </c>
      <c r="S16" s="16" t="s">
        <v>53</v>
      </c>
      <c r="T16">
        <f>T5-D5</f>
        <v>4.7999999999999932E-2</v>
      </c>
      <c r="U16">
        <f>U5-E5</f>
        <v>4.7000000000000042E-2</v>
      </c>
      <c r="V16">
        <f>V5-F5</f>
        <v>4.9000000000000016E-2</v>
      </c>
      <c r="W16" s="25">
        <f>W5-G5</f>
        <v>1.0600000000000023</v>
      </c>
      <c r="X16" s="21"/>
      <c r="Y16" s="2"/>
      <c r="AC16" s="16" t="s">
        <v>53</v>
      </c>
      <c r="AD16">
        <f>AD5-D5</f>
        <v>6.2999999999999945E-2</v>
      </c>
      <c r="AE16">
        <f>AE5-E5</f>
        <v>5.1000000000000045E-2</v>
      </c>
      <c r="AF16">
        <f>AF5-F5</f>
        <v>7.7999999999999986E-2</v>
      </c>
      <c r="AG16" s="25">
        <f>AG5-G5</f>
        <v>6.230000000000004</v>
      </c>
      <c r="AH16" s="21"/>
      <c r="AI16" s="2"/>
    </row>
    <row r="17" spans="3:35" x14ac:dyDescent="0.35">
      <c r="C17" s="16" t="s">
        <v>55</v>
      </c>
      <c r="D17" s="1" t="s">
        <v>29</v>
      </c>
      <c r="E17" s="1" t="s">
        <v>36</v>
      </c>
      <c r="F17" s="1">
        <v>0.308</v>
      </c>
      <c r="G17" s="21" t="s">
        <v>48</v>
      </c>
      <c r="H17" s="21">
        <v>97.96</v>
      </c>
      <c r="I17" s="2">
        <v>55.5</v>
      </c>
      <c r="L17" s="15" t="s">
        <v>55</v>
      </c>
      <c r="M17" s="1">
        <v>0.308</v>
      </c>
      <c r="N17" s="1">
        <v>0.71699999999999997</v>
      </c>
      <c r="O17" s="2">
        <v>89.28</v>
      </c>
      <c r="S17" s="16" t="s">
        <v>56</v>
      </c>
      <c r="T17">
        <f>T8-D8</f>
        <v>6.899999999999995E-2</v>
      </c>
      <c r="U17">
        <f>U8-E8</f>
        <v>6.9999999999999951E-2</v>
      </c>
      <c r="V17">
        <f>V8-F8</f>
        <v>4.5000000000000012E-2</v>
      </c>
      <c r="W17" s="25">
        <f>W8-G8</f>
        <v>1.9200000000000017</v>
      </c>
      <c r="X17" s="21"/>
      <c r="Y17" s="2"/>
      <c r="AC17" s="16" t="s">
        <v>56</v>
      </c>
      <c r="AD17">
        <f>AD8-D8</f>
        <v>8.0999999999999961E-2</v>
      </c>
      <c r="AE17">
        <f>AE8-E8</f>
        <v>7.7999999999999958E-2</v>
      </c>
      <c r="AF17">
        <f>AF8-F8</f>
        <v>8.3999999999999991E-2</v>
      </c>
      <c r="AG17" s="25">
        <f>AG8-G8</f>
        <v>7.4200000000000017</v>
      </c>
      <c r="AH17" s="21"/>
      <c r="AI17" s="2"/>
    </row>
    <row r="18" spans="3:35" x14ac:dyDescent="0.35">
      <c r="C18" s="16" t="s">
        <v>56</v>
      </c>
      <c r="D18" s="1" t="s">
        <v>30</v>
      </c>
      <c r="E18" s="1" t="s">
        <v>37</v>
      </c>
      <c r="F18" s="1" t="s">
        <v>42</v>
      </c>
      <c r="G18" s="21" t="s">
        <v>49</v>
      </c>
      <c r="H18" s="21">
        <v>97.96</v>
      </c>
      <c r="I18" s="2">
        <v>56.99</v>
      </c>
      <c r="L18" s="15" t="s">
        <v>56</v>
      </c>
      <c r="M18" s="1">
        <v>0.33400000000000002</v>
      </c>
      <c r="N18" s="1">
        <v>0.74299999999999999</v>
      </c>
      <c r="O18" s="2">
        <v>91.07</v>
      </c>
      <c r="S18" s="16" t="s">
        <v>60</v>
      </c>
      <c r="T18">
        <f>T9-D9</f>
        <v>0.11599999999999999</v>
      </c>
      <c r="U18">
        <f>U9-E9</f>
        <v>0.15400000000000003</v>
      </c>
      <c r="V18">
        <f>V9-F9</f>
        <v>8.8000000000000023E-2</v>
      </c>
      <c r="W18" s="25">
        <f>W9-G9</f>
        <v>2.3200000000000074</v>
      </c>
      <c r="X18" s="21"/>
      <c r="Y18" s="2"/>
      <c r="AC18" s="16" t="s">
        <v>60</v>
      </c>
      <c r="AD18">
        <f>AD9-D9</f>
        <v>0.14400000000000002</v>
      </c>
      <c r="AE18">
        <f>AE9-E9</f>
        <v>0.16000000000000003</v>
      </c>
      <c r="AF18">
        <f>AF9-F9</f>
        <v>0.123</v>
      </c>
      <c r="AG18" s="25">
        <f>AG9-G9</f>
        <v>8.5499999999999972</v>
      </c>
      <c r="AH18" s="21"/>
      <c r="AI18" s="2"/>
    </row>
    <row r="19" spans="3:35" x14ac:dyDescent="0.35">
      <c r="C19" s="16" t="s">
        <v>57</v>
      </c>
      <c r="D19" s="1" t="s">
        <v>31</v>
      </c>
      <c r="E19" s="1" t="s">
        <v>38</v>
      </c>
      <c r="F19" s="1" t="s">
        <v>43</v>
      </c>
      <c r="G19" s="21" t="s">
        <v>50</v>
      </c>
      <c r="H19" s="21">
        <v>98.56</v>
      </c>
      <c r="I19" s="2">
        <v>62.64</v>
      </c>
      <c r="L19" s="15" t="s">
        <v>57</v>
      </c>
      <c r="M19" s="1">
        <v>0.36299999999999999</v>
      </c>
      <c r="N19" s="1">
        <v>0.72499999999999998</v>
      </c>
      <c r="O19" s="2">
        <v>91.96</v>
      </c>
      <c r="S19" s="16" t="s">
        <v>59</v>
      </c>
      <c r="T19">
        <f>T10-D10</f>
        <v>0.14699999999999996</v>
      </c>
      <c r="U19">
        <f>U10-E10</f>
        <v>0.22600000000000003</v>
      </c>
      <c r="V19">
        <f>V10-F10</f>
        <v>4.9000000000000002E-2</v>
      </c>
      <c r="W19" s="7">
        <f>W10-G10</f>
        <v>2.990000000000002</v>
      </c>
      <c r="X19" s="21"/>
      <c r="Y19" s="2"/>
      <c r="AC19" s="16" t="s">
        <v>59</v>
      </c>
      <c r="AD19">
        <f>AD10-D10</f>
        <v>0.20599999999999996</v>
      </c>
      <c r="AE19">
        <f>AE10-E10</f>
        <v>0.30299999999999999</v>
      </c>
      <c r="AF19">
        <f>AF10-F10</f>
        <v>8.5000000000000006E-2</v>
      </c>
      <c r="AG19" s="7">
        <f>AG10-G10</f>
        <v>11.21</v>
      </c>
      <c r="AH19" s="21"/>
      <c r="AI19" s="2"/>
    </row>
    <row r="20" spans="3:35" x14ac:dyDescent="0.35">
      <c r="C20" s="11" t="s">
        <v>58</v>
      </c>
      <c r="D20" s="3" t="s">
        <v>32</v>
      </c>
      <c r="E20" s="3" t="s">
        <v>39</v>
      </c>
      <c r="F20" s="3" t="s">
        <v>44</v>
      </c>
      <c r="G20" s="3" t="s">
        <v>51</v>
      </c>
      <c r="H20" s="3">
        <v>77.87</v>
      </c>
      <c r="I20" s="4">
        <v>22.91</v>
      </c>
      <c r="L20" s="17" t="s">
        <v>59</v>
      </c>
      <c r="M20" s="3">
        <v>0.113</v>
      </c>
      <c r="N20" s="3">
        <v>0.30099999999999999</v>
      </c>
      <c r="O20" s="4">
        <v>42.85</v>
      </c>
      <c r="S20" s="10" t="s">
        <v>66</v>
      </c>
      <c r="T20" s="8">
        <f>AVERAGEA(T15:T19)</f>
        <v>8.4599999999999981E-2</v>
      </c>
      <c r="U20" s="8">
        <f t="shared" ref="U20:W20" si="0">AVERAGEA(U15:U19)</f>
        <v>0.10640000000000001</v>
      </c>
      <c r="V20" s="8">
        <f t="shared" si="0"/>
        <v>5.7200000000000008E-2</v>
      </c>
      <c r="W20" s="8">
        <f t="shared" si="0"/>
        <v>1.9760000000000033</v>
      </c>
      <c r="X20" s="26"/>
      <c r="Y20" s="22"/>
      <c r="AC20" s="10" t="s">
        <v>66</v>
      </c>
      <c r="AD20" s="8">
        <f>AVERAGEA(AD15:AD19)</f>
        <v>0.10999999999999999</v>
      </c>
      <c r="AE20" s="8">
        <f t="shared" ref="AE20:AF20" si="1">AVERAGEA(AE15:AE19)</f>
        <v>0.12620000000000001</v>
      </c>
      <c r="AF20" s="8">
        <f t="shared" si="1"/>
        <v>8.9400000000000007E-2</v>
      </c>
      <c r="AG20" s="9">
        <f>AVERAGEA(AG15:AG19)</f>
        <v>7.8880000000000008</v>
      </c>
      <c r="AH20" s="23"/>
      <c r="AI20" s="22"/>
    </row>
    <row r="21" spans="3:35" x14ac:dyDescent="0.35">
      <c r="D21" s="1"/>
      <c r="E21" s="1"/>
      <c r="F21" s="1"/>
      <c r="G21" s="1"/>
      <c r="H21" s="1"/>
      <c r="I21" s="1"/>
      <c r="L21" s="1"/>
      <c r="M21" s="1"/>
      <c r="N21" s="1"/>
      <c r="O21" s="1"/>
      <c r="X21" s="21"/>
      <c r="Y21" s="21"/>
      <c r="AH21" s="21"/>
      <c r="AI21" s="21"/>
    </row>
    <row r="22" spans="3:35" x14ac:dyDescent="0.35">
      <c r="C22" s="5" t="s">
        <v>69</v>
      </c>
      <c r="H22" s="1"/>
      <c r="I22" s="1"/>
      <c r="L22" s="13" t="s">
        <v>73</v>
      </c>
    </row>
    <row r="23" spans="3:35" x14ac:dyDescent="0.35">
      <c r="C23" s="10"/>
      <c r="D23" s="12" t="s">
        <v>66</v>
      </c>
      <c r="E23" s="12" t="s">
        <v>66</v>
      </c>
      <c r="F23" s="12" t="s">
        <v>66</v>
      </c>
      <c r="G23" s="12" t="s">
        <v>66</v>
      </c>
      <c r="H23" s="12" t="s">
        <v>66</v>
      </c>
      <c r="I23" s="12" t="s">
        <v>66</v>
      </c>
      <c r="L23" s="12"/>
      <c r="M23" s="12" t="s">
        <v>66</v>
      </c>
      <c r="N23" s="12" t="s">
        <v>66</v>
      </c>
      <c r="O23" s="12" t="s">
        <v>66</v>
      </c>
      <c r="S23" s="5" t="s">
        <v>77</v>
      </c>
      <c r="AC23" s="5" t="s">
        <v>79</v>
      </c>
    </row>
    <row r="24" spans="3:35" x14ac:dyDescent="0.35">
      <c r="C24" s="18" t="s">
        <v>52</v>
      </c>
      <c r="D24" s="1">
        <f t="shared" ref="D24:I30" si="2">D14-D4</f>
        <v>0.1090000000000001</v>
      </c>
      <c r="E24" s="1">
        <f t="shared" si="2"/>
        <v>9.2000000000000082E-2</v>
      </c>
      <c r="F24" s="1">
        <f t="shared" si="2"/>
        <v>0.16900000000000001</v>
      </c>
      <c r="G24" s="27">
        <f t="shared" si="2"/>
        <v>7.3599999999999994</v>
      </c>
      <c r="H24" s="1">
        <f>H14-H4</f>
        <v>2.1500000000000057</v>
      </c>
      <c r="I24" s="19">
        <f>I14-I4</f>
        <v>13.989999999999995</v>
      </c>
      <c r="L24" s="14" t="s">
        <v>52</v>
      </c>
      <c r="M24" s="1">
        <f t="shared" ref="M24:O30" si="3">M14-M4</f>
        <v>0.16900000000000001</v>
      </c>
      <c r="N24" s="1">
        <f t="shared" si="3"/>
        <v>0.16000000000000003</v>
      </c>
      <c r="O24" s="2">
        <f t="shared" si="3"/>
        <v>5.3499999999999943</v>
      </c>
      <c r="S24" s="10"/>
      <c r="T24" s="10" t="s">
        <v>61</v>
      </c>
      <c r="U24" s="10" t="s">
        <v>62</v>
      </c>
      <c r="V24" s="10" t="s">
        <v>63</v>
      </c>
      <c r="W24" s="10" t="s">
        <v>64</v>
      </c>
      <c r="X24" s="12" t="s">
        <v>81</v>
      </c>
      <c r="Y24" s="12" t="s">
        <v>82</v>
      </c>
      <c r="AC24" s="10"/>
      <c r="AD24" s="10" t="s">
        <v>61</v>
      </c>
      <c r="AE24" s="10" t="s">
        <v>62</v>
      </c>
      <c r="AF24" s="10" t="s">
        <v>63</v>
      </c>
      <c r="AG24" s="10" t="s">
        <v>64</v>
      </c>
      <c r="AH24" s="12" t="s">
        <v>81</v>
      </c>
      <c r="AI24" s="12" t="s">
        <v>82</v>
      </c>
    </row>
    <row r="25" spans="3:35" x14ac:dyDescent="0.35">
      <c r="C25" s="16" t="s">
        <v>53</v>
      </c>
      <c r="D25" s="1">
        <f t="shared" si="2"/>
        <v>0.11699999999999999</v>
      </c>
      <c r="E25" s="1">
        <f t="shared" si="2"/>
        <v>0.1070000000000001</v>
      </c>
      <c r="F25" s="1">
        <f t="shared" si="2"/>
        <v>0.14399999999999999</v>
      </c>
      <c r="G25" s="21">
        <f t="shared" si="2"/>
        <v>7.4900000000000091</v>
      </c>
      <c r="H25" s="1">
        <f t="shared" si="2"/>
        <v>2.1499999999999915</v>
      </c>
      <c r="I25" s="2">
        <f t="shared" si="2"/>
        <v>15.179999999999993</v>
      </c>
      <c r="L25" s="15" t="s">
        <v>53</v>
      </c>
      <c r="M25" s="1">
        <f t="shared" si="3"/>
        <v>0.14399999999999999</v>
      </c>
      <c r="N25" s="1">
        <f t="shared" si="3"/>
        <v>0.19399999999999995</v>
      </c>
      <c r="O25" s="2">
        <f t="shared" si="3"/>
        <v>5.3499999999999943</v>
      </c>
      <c r="S25" s="16" t="s">
        <v>52</v>
      </c>
      <c r="T25">
        <f>T4-D14</f>
        <v>-6.6000000000000059E-2</v>
      </c>
      <c r="U25">
        <f>U4-E14</f>
        <v>-5.7000000000000051E-2</v>
      </c>
      <c r="V25">
        <f>V4-F14</f>
        <v>-0.11400000000000005</v>
      </c>
      <c r="W25" s="24">
        <f>W4-G14</f>
        <v>-5.769999999999996</v>
      </c>
      <c r="X25" s="21"/>
      <c r="Y25" s="2"/>
      <c r="AC25" s="16" t="s">
        <v>52</v>
      </c>
      <c r="AD25">
        <f>AD4-D14</f>
        <v>-5.3000000000000047E-2</v>
      </c>
      <c r="AE25">
        <f>AE4-E14</f>
        <v>-5.3000000000000047E-2</v>
      </c>
      <c r="AF25">
        <f>AF4-F14</f>
        <v>-9.2000000000000026E-2</v>
      </c>
      <c r="AG25" s="6">
        <f>AG4-G14</f>
        <v>-1.3299999999999983</v>
      </c>
      <c r="AH25" s="20"/>
      <c r="AI25" s="2"/>
    </row>
    <row r="26" spans="3:35" x14ac:dyDescent="0.35">
      <c r="C26" s="16" t="s">
        <v>54</v>
      </c>
      <c r="D26" s="1">
        <f t="shared" si="2"/>
        <v>0.14300000000000002</v>
      </c>
      <c r="E26" s="1">
        <f t="shared" si="2"/>
        <v>0.14500000000000002</v>
      </c>
      <c r="F26" s="1">
        <f t="shared" si="2"/>
        <v>0.15499999999999997</v>
      </c>
      <c r="G26" s="21">
        <f t="shared" si="2"/>
        <v>8.8100000000000023</v>
      </c>
      <c r="H26" s="1">
        <f t="shared" si="2"/>
        <v>2.6299999999999955</v>
      </c>
      <c r="I26" s="2">
        <f t="shared" si="2"/>
        <v>18.899999999999999</v>
      </c>
      <c r="L26" s="15" t="s">
        <v>54</v>
      </c>
      <c r="M26" s="1">
        <f t="shared" si="3"/>
        <v>0.15499999999999997</v>
      </c>
      <c r="N26" s="1">
        <f t="shared" si="3"/>
        <v>0.28100000000000003</v>
      </c>
      <c r="O26" s="2">
        <f t="shared" si="3"/>
        <v>12.5</v>
      </c>
      <c r="S26" s="16" t="s">
        <v>53</v>
      </c>
      <c r="T26">
        <f>T5-D15</f>
        <v>-6.9000000000000061E-2</v>
      </c>
      <c r="U26">
        <f>U5-E15</f>
        <v>-6.0000000000000053E-2</v>
      </c>
      <c r="V26">
        <f>V5-F15</f>
        <v>-9.4999999999999973E-2</v>
      </c>
      <c r="W26" s="25">
        <f>W5-G15</f>
        <v>-6.4300000000000068</v>
      </c>
      <c r="X26" s="21"/>
      <c r="Y26" s="2"/>
      <c r="AC26" s="16" t="s">
        <v>53</v>
      </c>
      <c r="AD26">
        <f>AD5-D15</f>
        <v>-5.4000000000000048E-2</v>
      </c>
      <c r="AE26">
        <f>AE5-E15</f>
        <v>-5.600000000000005E-2</v>
      </c>
      <c r="AF26">
        <f>AF5-F15</f>
        <v>-6.6000000000000003E-2</v>
      </c>
      <c r="AG26" s="6">
        <f>AG5-G15</f>
        <v>-1.2600000000000051</v>
      </c>
      <c r="AH26" s="20"/>
      <c r="AI26" s="2"/>
    </row>
    <row r="27" spans="3:35" x14ac:dyDescent="0.35">
      <c r="C27" s="16" t="s">
        <v>55</v>
      </c>
      <c r="D27" s="1">
        <f t="shared" si="2"/>
        <v>0.10599999999999998</v>
      </c>
      <c r="E27" s="1">
        <f t="shared" si="2"/>
        <v>0.10199999999999998</v>
      </c>
      <c r="F27" s="1">
        <f t="shared" si="2"/>
        <v>9.9000000000000005E-2</v>
      </c>
      <c r="G27" s="21">
        <f t="shared" si="2"/>
        <v>7.3599999999999994</v>
      </c>
      <c r="H27" s="1">
        <f t="shared" si="2"/>
        <v>2.269999999999996</v>
      </c>
      <c r="I27" s="2">
        <f t="shared" si="2"/>
        <v>13.689999999999998</v>
      </c>
      <c r="L27" s="15" t="s">
        <v>55</v>
      </c>
      <c r="M27" s="1">
        <f t="shared" si="3"/>
        <v>9.9000000000000005E-2</v>
      </c>
      <c r="N27" s="1">
        <f t="shared" si="3"/>
        <v>0.18799999999999994</v>
      </c>
      <c r="O27" s="2">
        <f t="shared" si="3"/>
        <v>6.25</v>
      </c>
      <c r="S27" s="16" t="s">
        <v>56</v>
      </c>
      <c r="T27">
        <f>T8-D18</f>
        <v>-4.7000000000000042E-2</v>
      </c>
      <c r="U27">
        <f>U8-E18</f>
        <v>-3.8000000000000034E-2</v>
      </c>
      <c r="V27">
        <f>V8-F18</f>
        <v>-8.0000000000000016E-2</v>
      </c>
      <c r="W27" s="25">
        <f>W8-G18</f>
        <v>-6.1599999999999966</v>
      </c>
      <c r="X27" s="21"/>
      <c r="Y27" s="2"/>
      <c r="AC27" s="16" t="s">
        <v>56</v>
      </c>
      <c r="AD27">
        <f>AD8-D18</f>
        <v>-3.5000000000000031E-2</v>
      </c>
      <c r="AE27">
        <f>AE8-E18</f>
        <v>-3.0000000000000027E-2</v>
      </c>
      <c r="AF27">
        <f>AF8-F18</f>
        <v>-4.1000000000000036E-2</v>
      </c>
      <c r="AG27" s="6">
        <f>AG8-G18</f>
        <v>-0.65999999999999659</v>
      </c>
      <c r="AH27" s="20"/>
      <c r="AI27" s="2"/>
    </row>
    <row r="28" spans="3:35" x14ac:dyDescent="0.35">
      <c r="C28" s="16" t="s">
        <v>56</v>
      </c>
      <c r="D28" s="1">
        <f t="shared" si="2"/>
        <v>0.11599999999999999</v>
      </c>
      <c r="E28" s="1">
        <f t="shared" si="2"/>
        <v>0.10799999999999998</v>
      </c>
      <c r="F28" s="1">
        <f t="shared" si="2"/>
        <v>0.12500000000000003</v>
      </c>
      <c r="G28" s="21">
        <f t="shared" si="2"/>
        <v>8.0799999999999983</v>
      </c>
      <c r="H28" s="1">
        <f t="shared" si="2"/>
        <v>2.3900000000000006</v>
      </c>
      <c r="I28" s="2">
        <f t="shared" si="2"/>
        <v>15.18</v>
      </c>
      <c r="L28" s="15" t="s">
        <v>56</v>
      </c>
      <c r="M28" s="1">
        <f t="shared" si="3"/>
        <v>0.12500000000000003</v>
      </c>
      <c r="N28" s="1">
        <f t="shared" si="3"/>
        <v>0.20099999999999996</v>
      </c>
      <c r="O28" s="2">
        <f t="shared" si="3"/>
        <v>8.039999999999992</v>
      </c>
      <c r="S28" s="16" t="s">
        <v>60</v>
      </c>
      <c r="T28">
        <f>T9-D19</f>
        <v>-6.800000000000006E-2</v>
      </c>
      <c r="U28">
        <f>U9-E19</f>
        <v>-3.3000000000000029E-2</v>
      </c>
      <c r="V28">
        <f>V9-F19</f>
        <v>-9.099999999999997E-2</v>
      </c>
      <c r="W28" s="25">
        <f>W9-G19</f>
        <v>-7.8199999999999932</v>
      </c>
      <c r="X28" s="21"/>
      <c r="Y28" s="2"/>
      <c r="AC28" s="16" t="s">
        <v>60</v>
      </c>
      <c r="AD28">
        <f>AD9-D19</f>
        <v>-4.0000000000000036E-2</v>
      </c>
      <c r="AE28">
        <f>AE9-E19</f>
        <v>-2.7000000000000024E-2</v>
      </c>
      <c r="AF28">
        <f>AF9-F19</f>
        <v>-5.5999999999999994E-2</v>
      </c>
      <c r="AG28" s="6">
        <f>AG9-G19</f>
        <v>-1.5900000000000034</v>
      </c>
      <c r="AH28" s="20"/>
      <c r="AI28" s="2"/>
    </row>
    <row r="29" spans="3:35" x14ac:dyDescent="0.35">
      <c r="C29" s="16" t="s">
        <v>57</v>
      </c>
      <c r="D29" s="1">
        <f t="shared" si="2"/>
        <v>0.18400000000000005</v>
      </c>
      <c r="E29" s="1">
        <f t="shared" si="2"/>
        <v>0.18700000000000006</v>
      </c>
      <c r="F29" s="1">
        <f t="shared" si="2"/>
        <v>0.17899999999999999</v>
      </c>
      <c r="G29" s="21">
        <f t="shared" si="2"/>
        <v>10.14</v>
      </c>
      <c r="H29" s="1">
        <f t="shared" si="2"/>
        <v>4.4300000000000068</v>
      </c>
      <c r="I29" s="2">
        <f t="shared" si="2"/>
        <v>17.11</v>
      </c>
      <c r="L29" s="15" t="s">
        <v>57</v>
      </c>
      <c r="M29" s="1">
        <f t="shared" si="3"/>
        <v>0.17899999999999999</v>
      </c>
      <c r="N29" s="1">
        <f t="shared" si="3"/>
        <v>0.28499999999999998</v>
      </c>
      <c r="O29" s="2">
        <f t="shared" si="3"/>
        <v>12.5</v>
      </c>
      <c r="S29" s="16" t="s">
        <v>59</v>
      </c>
      <c r="T29">
        <f>T10-D20</f>
        <v>6.0999999999999999E-2</v>
      </c>
      <c r="U29">
        <f>U10-E20</f>
        <v>9.4000000000000083E-2</v>
      </c>
      <c r="V29">
        <f>V10-F20</f>
        <v>1.9000000000000003E-2</v>
      </c>
      <c r="W29" s="25">
        <f>W10-G20</f>
        <v>-7.5600000000000023</v>
      </c>
      <c r="X29" s="21"/>
      <c r="Y29" s="2"/>
      <c r="AC29" s="16" t="s">
        <v>59</v>
      </c>
      <c r="AD29">
        <f>AD10-D20</f>
        <v>0.12</v>
      </c>
      <c r="AE29">
        <f>AE10-E20</f>
        <v>0.17100000000000004</v>
      </c>
      <c r="AF29">
        <f>AF10-F20</f>
        <v>5.5000000000000007E-2</v>
      </c>
      <c r="AG29" s="6">
        <f>AG10-G20</f>
        <v>0.65999999999999659</v>
      </c>
      <c r="AH29" s="20"/>
      <c r="AI29" s="2"/>
    </row>
    <row r="30" spans="3:35" x14ac:dyDescent="0.35">
      <c r="C30" s="16" t="s">
        <v>59</v>
      </c>
      <c r="D30" s="1">
        <f t="shared" si="2"/>
        <v>8.5999999999999965E-2</v>
      </c>
      <c r="E30" s="1">
        <f t="shared" si="2"/>
        <v>0.13199999999999995</v>
      </c>
      <c r="F30" s="1">
        <f t="shared" si="2"/>
        <v>0.03</v>
      </c>
      <c r="G30" s="21">
        <f t="shared" si="2"/>
        <v>10.550000000000004</v>
      </c>
      <c r="H30" s="1">
        <f t="shared" si="2"/>
        <v>12.800000000000011</v>
      </c>
      <c r="I30" s="2">
        <f t="shared" si="2"/>
        <v>7.74</v>
      </c>
      <c r="L30" s="15" t="s">
        <v>59</v>
      </c>
      <c r="M30" s="1">
        <f t="shared" si="3"/>
        <v>0.03</v>
      </c>
      <c r="N30" s="1">
        <f t="shared" si="3"/>
        <v>5.5999999999999994E-2</v>
      </c>
      <c r="O30" s="2">
        <f t="shared" si="3"/>
        <v>7.1400000000000006</v>
      </c>
      <c r="S30" s="10" t="s">
        <v>66</v>
      </c>
      <c r="T30" s="8">
        <f>AVERAGEA(T25:T29)</f>
        <v>-3.7800000000000042E-2</v>
      </c>
      <c r="U30" s="8">
        <f t="shared" ref="U30:W30" si="4">AVERAGEA(U25:U29)</f>
        <v>-1.8800000000000018E-2</v>
      </c>
      <c r="V30" s="8">
        <f t="shared" si="4"/>
        <v>-7.22E-2</v>
      </c>
      <c r="W30" s="8">
        <f t="shared" si="4"/>
        <v>-6.7479999999999993</v>
      </c>
      <c r="X30" s="26"/>
      <c r="Y30" s="22"/>
      <c r="AC30" s="10" t="s">
        <v>66</v>
      </c>
      <c r="AD30" s="8">
        <f>AVERAGEA(AD25:AD29)</f>
        <v>-1.2400000000000033E-2</v>
      </c>
      <c r="AE30" s="8">
        <f t="shared" ref="AE30:AF30" si="5">AVERAGEA(AE25:AE29)</f>
        <v>9.9999999999997877E-4</v>
      </c>
      <c r="AF30" s="8">
        <f t="shared" si="5"/>
        <v>-4.0000000000000015E-2</v>
      </c>
      <c r="AG30" s="9">
        <f>AVERAGEA(AG25:AG29)</f>
        <v>-0.83600000000000141</v>
      </c>
      <c r="AH30" s="23"/>
      <c r="AI30" s="22"/>
    </row>
    <row r="31" spans="3:35" x14ac:dyDescent="0.35">
      <c r="C31" s="10" t="s">
        <v>70</v>
      </c>
      <c r="D31" s="8">
        <f>AVERAGEA(D24:D30)</f>
        <v>0.12300000000000001</v>
      </c>
      <c r="E31" s="8">
        <f>AVERAGEA(E24:E30)</f>
        <v>0.12471428571428575</v>
      </c>
      <c r="F31" s="8">
        <f>AVERAGEA(F24:F30)</f>
        <v>0.12871428571428573</v>
      </c>
      <c r="G31" s="8">
        <f>AVERAGEA(G24:G30)</f>
        <v>8.5414285714285736</v>
      </c>
      <c r="H31" s="8">
        <f t="shared" ref="H31:I31" si="6">AVERAGEA(H24:H30)</f>
        <v>4.1171428571428583</v>
      </c>
      <c r="I31" s="9">
        <f>AVERAGEA(I24:I30)</f>
        <v>14.541428571428568</v>
      </c>
      <c r="L31" s="10" t="s">
        <v>70</v>
      </c>
      <c r="M31" s="8">
        <f>AVERAGEA(M24:M30)</f>
        <v>0.12871428571428573</v>
      </c>
      <c r="N31" s="8">
        <f>AVERAGEA(N24:N30)</f>
        <v>0.19500000000000001</v>
      </c>
      <c r="O31" s="9">
        <f>AVERAGEA(O24:O30)</f>
        <v>8.1614285714285693</v>
      </c>
      <c r="X31" s="21"/>
      <c r="Y31" s="21"/>
      <c r="AH31" s="21"/>
      <c r="AI31" s="21"/>
    </row>
    <row r="33" spans="29:35" x14ac:dyDescent="0.35">
      <c r="AC33" s="5" t="s">
        <v>80</v>
      </c>
    </row>
    <row r="34" spans="29:35" x14ac:dyDescent="0.35">
      <c r="AC34" s="10"/>
      <c r="AD34" s="10" t="s">
        <v>61</v>
      </c>
      <c r="AE34" s="10" t="s">
        <v>62</v>
      </c>
      <c r="AF34" s="10" t="s">
        <v>63</v>
      </c>
      <c r="AG34" s="10" t="s">
        <v>64</v>
      </c>
      <c r="AH34" s="12" t="s">
        <v>81</v>
      </c>
      <c r="AI34" s="12" t="s">
        <v>82</v>
      </c>
    </row>
    <row r="35" spans="29:35" x14ac:dyDescent="0.35">
      <c r="AC35" s="16" t="s">
        <v>52</v>
      </c>
      <c r="AD35">
        <f>AD4-T4</f>
        <v>1.3000000000000012E-2</v>
      </c>
      <c r="AE35">
        <f>AE4-U4</f>
        <v>4.0000000000000036E-3</v>
      </c>
      <c r="AF35">
        <f>AF4-V4</f>
        <v>2.200000000000002E-2</v>
      </c>
      <c r="AG35" s="24">
        <f>AG4-W4</f>
        <v>4.4399999999999977</v>
      </c>
      <c r="AH35" s="21"/>
      <c r="AI35" s="2"/>
    </row>
    <row r="36" spans="29:35" x14ac:dyDescent="0.35">
      <c r="AC36" s="16" t="s">
        <v>53</v>
      </c>
      <c r="AD36">
        <f>AD5-T5</f>
        <v>1.5000000000000013E-2</v>
      </c>
      <c r="AE36">
        <f>AE5-U5</f>
        <v>4.0000000000000036E-3</v>
      </c>
      <c r="AF36">
        <f>AF5-V5</f>
        <v>2.899999999999997E-2</v>
      </c>
      <c r="AG36" s="25">
        <f>AG5-W5</f>
        <v>5.1700000000000017</v>
      </c>
      <c r="AH36" s="21"/>
      <c r="AI36" s="2"/>
    </row>
    <row r="37" spans="29:35" x14ac:dyDescent="0.35">
      <c r="AC37" s="16" t="s">
        <v>56</v>
      </c>
      <c r="AD37">
        <f>AD8-T8</f>
        <v>1.2000000000000011E-2</v>
      </c>
      <c r="AE37">
        <f>AE8-U8</f>
        <v>8.0000000000000071E-3</v>
      </c>
      <c r="AF37">
        <f>AF8-V8</f>
        <v>3.8999999999999979E-2</v>
      </c>
      <c r="AG37" s="25">
        <f>AG8-W8</f>
        <v>5.5</v>
      </c>
      <c r="AH37" s="21"/>
      <c r="AI37" s="2"/>
    </row>
    <row r="38" spans="29:35" x14ac:dyDescent="0.35">
      <c r="AC38" s="16" t="s">
        <v>60</v>
      </c>
      <c r="AD38">
        <f>AD9-T9</f>
        <v>2.8000000000000025E-2</v>
      </c>
      <c r="AE38">
        <f>AE9-U9</f>
        <v>6.0000000000000053E-3</v>
      </c>
      <c r="AF38">
        <f>AF9-V9</f>
        <v>3.4999999999999976E-2</v>
      </c>
      <c r="AG38" s="25">
        <f>AG9-W9</f>
        <v>6.2299999999999898</v>
      </c>
      <c r="AH38" s="21"/>
      <c r="AI38" s="2"/>
    </row>
    <row r="39" spans="29:35" x14ac:dyDescent="0.35">
      <c r="AC39" s="16" t="s">
        <v>59</v>
      </c>
      <c r="AD39">
        <f>AD10-T10</f>
        <v>5.8999999999999997E-2</v>
      </c>
      <c r="AE39">
        <f>AE10-U10</f>
        <v>7.6999999999999957E-2</v>
      </c>
      <c r="AF39">
        <f>AF10-V10</f>
        <v>3.6000000000000004E-2</v>
      </c>
      <c r="AG39" s="25">
        <f>AG10-W10</f>
        <v>8.2199999999999989</v>
      </c>
      <c r="AH39" s="21"/>
      <c r="AI39" s="2"/>
    </row>
    <row r="40" spans="29:35" x14ac:dyDescent="0.35">
      <c r="AC40" s="10" t="s">
        <v>66</v>
      </c>
      <c r="AD40" s="8">
        <f>AVERAGEA(AD35:AD39)</f>
        <v>2.5400000000000013E-2</v>
      </c>
      <c r="AE40" s="8">
        <f t="shared" ref="AE40:AG40" si="7">AVERAGEA(AE35:AE39)</f>
        <v>1.9799999999999995E-2</v>
      </c>
      <c r="AF40" s="8">
        <f t="shared" si="7"/>
        <v>3.2199999999999993E-2</v>
      </c>
      <c r="AG40" s="8">
        <f t="shared" si="7"/>
        <v>5.9119999999999973</v>
      </c>
      <c r="AH40" s="26"/>
      <c r="AI40" s="22"/>
    </row>
    <row r="41" spans="29:35" x14ac:dyDescent="0.35">
      <c r="AH41" s="21"/>
      <c r="AI41" s="21"/>
    </row>
  </sheetData>
  <pageMargins left="0.7" right="0.7" top="0.78740157499999996" bottom="0.78740157499999996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m9</dc:creator>
  <cp:lastModifiedBy>m9</cp:lastModifiedBy>
  <cp:lastPrinted>2024-08-16T13:42:23Z</cp:lastPrinted>
  <dcterms:created xsi:type="dcterms:W3CDTF">2024-08-16T12:13:35Z</dcterms:created>
  <dcterms:modified xsi:type="dcterms:W3CDTF">2024-09-19T09:28:51Z</dcterms:modified>
</cp:coreProperties>
</file>