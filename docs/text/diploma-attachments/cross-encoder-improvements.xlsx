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AA\master-thesis\docs\text\diploma-attachments\"/>
    </mc:Choice>
  </mc:AlternateContent>
  <xr:revisionPtr revIDLastSave="0" documentId="13_ncr:1_{A6724025-1DB4-40A7-B907-A92D234D4458}" xr6:coauthVersionLast="47" xr6:coauthVersionMax="47" xr10:uidLastSave="{00000000-0000-0000-0000-000000000000}"/>
  <bookViews>
    <workbookView xWindow="28680" yWindow="-120" windowWidth="29040" windowHeight="15990" xr2:uid="{A1D76B35-4FF5-40A4-BD1A-EC3F7AF95CD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33" i="1" l="1"/>
  <c r="AA33" i="1"/>
  <c r="AB33" i="1"/>
  <c r="Z34" i="1"/>
  <c r="AA34" i="1"/>
  <c r="AB34" i="1"/>
  <c r="Z35" i="1"/>
  <c r="AA35" i="1"/>
  <c r="AB35" i="1"/>
  <c r="Z36" i="1"/>
  <c r="AA36" i="1"/>
  <c r="AB36" i="1"/>
  <c r="Z37" i="1"/>
  <c r="AA37" i="1"/>
  <c r="AB37" i="1"/>
  <c r="Y34" i="1"/>
  <c r="Y35" i="1"/>
  <c r="Y36" i="1"/>
  <c r="Y37" i="1"/>
  <c r="Y33" i="1"/>
  <c r="Z15" i="1"/>
  <c r="AA15" i="1"/>
  <c r="AB15" i="1"/>
  <c r="Z16" i="1"/>
  <c r="AA16" i="1"/>
  <c r="AB16" i="1"/>
  <c r="Z17" i="1"/>
  <c r="AA17" i="1"/>
  <c r="AB17" i="1"/>
  <c r="Z18" i="1"/>
  <c r="AA18" i="1"/>
  <c r="AB18" i="1"/>
  <c r="Z19" i="1"/>
  <c r="AA19" i="1"/>
  <c r="AB19" i="1"/>
  <c r="Y16" i="1"/>
  <c r="Y17" i="1"/>
  <c r="Y18" i="1"/>
  <c r="Y19" i="1"/>
  <c r="Y15" i="1"/>
  <c r="Z24" i="1"/>
  <c r="AA24" i="1"/>
  <c r="AB24" i="1"/>
  <c r="Z25" i="1"/>
  <c r="AA25" i="1"/>
  <c r="AB25" i="1"/>
  <c r="Z26" i="1"/>
  <c r="AA26" i="1"/>
  <c r="AB26" i="1"/>
  <c r="Z27" i="1"/>
  <c r="AA27" i="1"/>
  <c r="AB27" i="1"/>
  <c r="Z28" i="1"/>
  <c r="AA28" i="1"/>
  <c r="AB28" i="1"/>
  <c r="Y25" i="1"/>
  <c r="Y26" i="1"/>
  <c r="Y27" i="1"/>
  <c r="Y28" i="1"/>
  <c r="Y24" i="1"/>
  <c r="S25" i="1"/>
  <c r="T25" i="1"/>
  <c r="U25" i="1"/>
  <c r="S26" i="1"/>
  <c r="T26" i="1"/>
  <c r="U26" i="1"/>
  <c r="S27" i="1"/>
  <c r="T27" i="1"/>
  <c r="U27" i="1"/>
  <c r="S28" i="1"/>
  <c r="T28" i="1"/>
  <c r="U28" i="1"/>
  <c r="S29" i="1"/>
  <c r="T29" i="1"/>
  <c r="U29" i="1"/>
  <c r="R26" i="1"/>
  <c r="R27" i="1"/>
  <c r="R28" i="1"/>
  <c r="R29" i="1"/>
  <c r="R25" i="1"/>
  <c r="T15" i="1"/>
  <c r="U15" i="1"/>
  <c r="T16" i="1"/>
  <c r="U16" i="1"/>
  <c r="T17" i="1"/>
  <c r="U17" i="1"/>
  <c r="T18" i="1"/>
  <c r="U18" i="1"/>
  <c r="T19" i="1"/>
  <c r="U19" i="1"/>
  <c r="S19" i="1"/>
  <c r="S18" i="1"/>
  <c r="S17" i="1"/>
  <c r="S16" i="1"/>
  <c r="S15" i="1"/>
  <c r="R16" i="1"/>
  <c r="R17" i="1"/>
  <c r="R18" i="1"/>
  <c r="R19" i="1"/>
  <c r="R15" i="1"/>
  <c r="M25" i="1"/>
  <c r="M26" i="1"/>
  <c r="M27" i="1"/>
  <c r="M28" i="1"/>
  <c r="M29" i="1"/>
  <c r="M30" i="1"/>
  <c r="L25" i="1"/>
  <c r="L26" i="1"/>
  <c r="L27" i="1"/>
  <c r="L28" i="1"/>
  <c r="L29" i="1"/>
  <c r="L30" i="1"/>
  <c r="M24" i="1"/>
  <c r="L24" i="1"/>
  <c r="K30" i="1"/>
  <c r="K25" i="1"/>
  <c r="K26" i="1"/>
  <c r="K27" i="1"/>
  <c r="K28" i="1"/>
  <c r="K29" i="1"/>
  <c r="K24" i="1"/>
  <c r="G25" i="1"/>
  <c r="G26" i="1"/>
  <c r="G27" i="1"/>
  <c r="G28" i="1"/>
  <c r="G29" i="1"/>
  <c r="G30" i="1"/>
  <c r="F25" i="1"/>
  <c r="F26" i="1"/>
  <c r="F27" i="1"/>
  <c r="F28" i="1"/>
  <c r="F29" i="1"/>
  <c r="F30" i="1"/>
  <c r="E25" i="1"/>
  <c r="E26" i="1"/>
  <c r="E27" i="1"/>
  <c r="E28" i="1"/>
  <c r="E29" i="1"/>
  <c r="E30" i="1"/>
  <c r="G24" i="1"/>
  <c r="F24" i="1"/>
  <c r="E24" i="1"/>
  <c r="D25" i="1"/>
  <c r="D26" i="1"/>
  <c r="D27" i="1"/>
  <c r="D28" i="1"/>
  <c r="D29" i="1"/>
  <c r="D30" i="1"/>
  <c r="D24" i="1"/>
  <c r="Y29" i="1" l="1"/>
  <c r="R20" i="1"/>
  <c r="T30" i="1"/>
  <c r="AA20" i="1"/>
  <c r="F31" i="1"/>
  <c r="Z20" i="1"/>
  <c r="S30" i="1"/>
  <c r="Y38" i="1"/>
  <c r="AB38" i="1"/>
  <c r="AA38" i="1"/>
  <c r="Z38" i="1"/>
  <c r="G31" i="1"/>
  <c r="R30" i="1"/>
  <c r="Y20" i="1"/>
  <c r="AB29" i="1"/>
  <c r="L31" i="1"/>
  <c r="U20" i="1"/>
  <c r="AA29" i="1"/>
  <c r="D31" i="1"/>
  <c r="K31" i="1"/>
  <c r="M31" i="1"/>
  <c r="T20" i="1"/>
  <c r="Z29" i="1"/>
  <c r="S20" i="1"/>
  <c r="U30" i="1"/>
  <c r="AB20" i="1"/>
  <c r="E31" i="1"/>
</calcChain>
</file>

<file path=xl/sharedStrings.xml><?xml version="1.0" encoding="utf-8"?>
<sst xmlns="http://schemas.openxmlformats.org/spreadsheetml/2006/main" count="200" uniqueCount="81">
  <si>
    <t>0.564</t>
  </si>
  <si>
    <t>0.557</t>
  </si>
  <si>
    <t>0.509</t>
  </si>
  <si>
    <t>0.539</t>
  </si>
  <si>
    <t>0.532</t>
  </si>
  <si>
    <t>0.476</t>
  </si>
  <si>
    <t>0.28</t>
  </si>
  <si>
    <t>0.832</t>
  </si>
  <si>
    <t>0.819</t>
  </si>
  <si>
    <t>0.76</t>
  </si>
  <si>
    <t>0.804</t>
  </si>
  <si>
    <t>0.793</t>
  </si>
  <si>
    <t>0.712</t>
  </si>
  <si>
    <t>0.438</t>
  </si>
  <si>
    <t>0.23</t>
  </si>
  <si>
    <t>0.231</t>
  </si>
  <si>
    <t>0.198</t>
  </si>
  <si>
    <t>0.209</t>
  </si>
  <si>
    <t>0.184</t>
  </si>
  <si>
    <t>0.083</t>
  </si>
  <si>
    <t>75.66</t>
  </si>
  <si>
    <t>72.82</t>
  </si>
  <si>
    <t>71.68</t>
  </si>
  <si>
    <t>71.62</t>
  </si>
  <si>
    <t>72.41</t>
  </si>
  <si>
    <t>42.83</t>
  </si>
  <si>
    <t>0.673</t>
  </si>
  <si>
    <t>0.674</t>
  </si>
  <si>
    <t>0.652</t>
  </si>
  <si>
    <t>0.645</t>
  </si>
  <si>
    <t>0.648</t>
  </si>
  <si>
    <t>0.66</t>
  </si>
  <si>
    <t>0.366</t>
  </si>
  <si>
    <t>0.924</t>
  </si>
  <si>
    <t>0.926</t>
  </si>
  <si>
    <t>0.905</t>
  </si>
  <si>
    <t>0.906</t>
  </si>
  <si>
    <t>0.901</t>
  </si>
  <si>
    <t>0.899</t>
  </si>
  <si>
    <t>0.570</t>
  </si>
  <si>
    <t>0.399</t>
  </si>
  <si>
    <t>0.375</t>
  </si>
  <si>
    <t>0.334</t>
  </si>
  <si>
    <t>0.363</t>
  </si>
  <si>
    <t>0.113</t>
  </si>
  <si>
    <t>83.02</t>
  </si>
  <si>
    <t>83.15</t>
  </si>
  <si>
    <t>81.63</t>
  </si>
  <si>
    <t>79.04</t>
  </si>
  <si>
    <t>79.7</t>
  </si>
  <si>
    <t>82.55</t>
  </si>
  <si>
    <t>53.38</t>
  </si>
  <si>
    <t>triple</t>
  </si>
  <si>
    <t>tuple</t>
  </si>
  <si>
    <t>dense bm</t>
  </si>
  <si>
    <t>sparse bm</t>
  </si>
  <si>
    <t>sparse</t>
  </si>
  <si>
    <t>dese</t>
  </si>
  <si>
    <t>bm</t>
  </si>
  <si>
    <t>bm25</t>
  </si>
  <si>
    <t>dense</t>
  </si>
  <si>
    <t>overall</t>
  </si>
  <si>
    <t>mecch</t>
  </si>
  <si>
    <t>users</t>
  </si>
  <si>
    <t>succ</t>
  </si>
  <si>
    <t>best</t>
  </si>
  <si>
    <t>avg</t>
  </si>
  <si>
    <t>No-rerank</t>
  </si>
  <si>
    <t>Boost (0.5)</t>
  </si>
  <si>
    <t>Average improvement from boost to no-rerank</t>
  </si>
  <si>
    <t>avg over avg</t>
  </si>
  <si>
    <t>No-rerank users-best</t>
  </si>
  <si>
    <t>Boost (0.5) users-best</t>
  </si>
  <si>
    <t>Average improvement from users-best boost to no-rerank</t>
  </si>
  <si>
    <t>Cross-encoder and no boost</t>
  </si>
  <si>
    <t>Cross-encoder + boost (0.5)</t>
  </si>
  <si>
    <t>(Cross-encoder and no boost) to no-rerank</t>
  </si>
  <si>
    <t>(Cross-encoder and no boost) to boost (0.5)</t>
  </si>
  <si>
    <t>(Cross-encoder + boost (0.5)) to no-rerank</t>
  </si>
  <si>
    <t>(Cross-encoder + boost (0.5)) to boost (0.5)</t>
  </si>
  <si>
    <t>(Cross-encoder + boost (0.5)) to (cross + no boost)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</si>
</sst>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/>
    <xf numFmtId="0" fontId="0" fillId="0" borderId="7" xfId="0" applyBorder="1" applyAlignment="1">
      <alignment vertical="center"/>
    </xf>
    <xf numFmtId="0" fontId="0" fillId="0" borderId="8" xfId="0" applyBorder="1"/>
    <xf numFmtId="0" fontId="1" fillId="0" borderId="0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04D2-675A-434A-8F61-FABF9CFEC79B}">
  <dimension ref="C2:AB38"/>
  <sheetViews>
    <sheetView tabSelected="1" zoomScaleNormal="100" workbookViewId="0">
      <selection activeCell="I14" sqref="I14"/>
    </sheetView>
  </sheetViews>
  <sheetFormatPr defaultRowHeight="14.5" x14ac:dyDescent="0.35"/>
  <cols>
    <col min="2" max="2" width="8.7265625" customWidth="1"/>
    <col min="3" max="3" width="12.6328125" customWidth="1"/>
    <col min="4" max="4" width="9.26953125" customWidth="1"/>
    <col min="10" max="10" width="15.7265625" customWidth="1"/>
  </cols>
  <sheetData>
    <row r="2" spans="3:28" x14ac:dyDescent="0.35">
      <c r="C2" s="6" t="s">
        <v>67</v>
      </c>
      <c r="J2" s="6" t="s">
        <v>71</v>
      </c>
      <c r="Q2" s="6" t="s">
        <v>74</v>
      </c>
      <c r="X2" s="6" t="s">
        <v>75</v>
      </c>
    </row>
    <row r="3" spans="3:28" x14ac:dyDescent="0.35">
      <c r="C3" s="13"/>
      <c r="D3" s="13" t="s">
        <v>61</v>
      </c>
      <c r="E3" s="13" t="s">
        <v>62</v>
      </c>
      <c r="F3" s="13" t="s">
        <v>63</v>
      </c>
      <c r="G3" s="13" t="s">
        <v>64</v>
      </c>
      <c r="H3" s="1"/>
      <c r="I3" s="1"/>
      <c r="J3" s="15"/>
      <c r="K3" s="15" t="s">
        <v>63</v>
      </c>
      <c r="L3" s="15" t="s">
        <v>65</v>
      </c>
      <c r="M3" s="15" t="s">
        <v>64</v>
      </c>
      <c r="Q3" s="13"/>
      <c r="R3" s="13" t="s">
        <v>61</v>
      </c>
      <c r="S3" s="13" t="s">
        <v>62</v>
      </c>
      <c r="T3" s="13" t="s">
        <v>63</v>
      </c>
      <c r="U3" s="13" t="s">
        <v>64</v>
      </c>
      <c r="X3" s="13"/>
      <c r="Y3" s="13" t="s">
        <v>61</v>
      </c>
      <c r="Z3" s="13" t="s">
        <v>62</v>
      </c>
      <c r="AA3" s="13" t="s">
        <v>63</v>
      </c>
      <c r="AB3" s="13" t="s">
        <v>64</v>
      </c>
    </row>
    <row r="4" spans="3:28" x14ac:dyDescent="0.35">
      <c r="C4" s="22" t="s">
        <v>52</v>
      </c>
      <c r="D4" s="2" t="s">
        <v>0</v>
      </c>
      <c r="E4" s="2" t="s">
        <v>7</v>
      </c>
      <c r="F4" s="2" t="s">
        <v>14</v>
      </c>
      <c r="G4" s="3" t="s">
        <v>20</v>
      </c>
      <c r="H4" s="1"/>
      <c r="I4" s="1"/>
      <c r="J4" s="18" t="s">
        <v>52</v>
      </c>
      <c r="K4" s="2">
        <v>0.23</v>
      </c>
      <c r="L4" s="2">
        <v>0.58199999999999996</v>
      </c>
      <c r="M4" s="3">
        <v>87.5</v>
      </c>
      <c r="Q4" s="22" t="s">
        <v>52</v>
      </c>
      <c r="R4" s="7">
        <v>0.60699999999999998</v>
      </c>
      <c r="S4" s="7">
        <v>0.86699999999999999</v>
      </c>
      <c r="T4" s="7">
        <v>0.28499999999999998</v>
      </c>
      <c r="U4" s="8">
        <v>77.25</v>
      </c>
      <c r="X4" s="22" t="s">
        <v>52</v>
      </c>
      <c r="Y4" s="7">
        <v>0.62</v>
      </c>
      <c r="Z4" s="7">
        <v>0.871</v>
      </c>
      <c r="AA4" s="7">
        <v>0.307</v>
      </c>
      <c r="AB4" s="8">
        <v>81.69</v>
      </c>
    </row>
    <row r="5" spans="3:28" x14ac:dyDescent="0.35">
      <c r="C5" s="20" t="s">
        <v>53</v>
      </c>
      <c r="D5" s="2" t="s">
        <v>1</v>
      </c>
      <c r="E5" s="2" t="s">
        <v>8</v>
      </c>
      <c r="F5" s="2" t="s">
        <v>15</v>
      </c>
      <c r="G5" s="3" t="s">
        <v>20</v>
      </c>
      <c r="H5" s="1"/>
      <c r="I5" s="1"/>
      <c r="J5" s="19" t="s">
        <v>53</v>
      </c>
      <c r="K5" s="2">
        <v>0.23100000000000001</v>
      </c>
      <c r="L5" s="2">
        <v>0.55500000000000005</v>
      </c>
      <c r="M5" s="3">
        <v>87.5</v>
      </c>
      <c r="Q5" s="20" t="s">
        <v>53</v>
      </c>
      <c r="R5" s="7">
        <v>0.60499999999999998</v>
      </c>
      <c r="S5" s="7">
        <v>0.86599999999999999</v>
      </c>
      <c r="T5" s="7">
        <v>0.28000000000000003</v>
      </c>
      <c r="U5" s="8">
        <v>76.72</v>
      </c>
      <c r="X5" s="20" t="s">
        <v>53</v>
      </c>
      <c r="Y5" s="7">
        <v>0.62</v>
      </c>
      <c r="Z5" s="7">
        <v>0.87</v>
      </c>
      <c r="AA5" s="7">
        <v>0.309</v>
      </c>
      <c r="AB5" s="8">
        <v>81.89</v>
      </c>
    </row>
    <row r="6" spans="3:28" x14ac:dyDescent="0.35">
      <c r="C6" s="20" t="s">
        <v>54</v>
      </c>
      <c r="D6" s="2" t="s">
        <v>2</v>
      </c>
      <c r="E6" s="2" t="s">
        <v>9</v>
      </c>
      <c r="F6" s="2" t="s">
        <v>16</v>
      </c>
      <c r="G6" s="3" t="s">
        <v>21</v>
      </c>
      <c r="H6" s="1"/>
      <c r="I6" s="1"/>
      <c r="J6" s="19" t="s">
        <v>54</v>
      </c>
      <c r="K6" s="2">
        <v>0.19800000000000001</v>
      </c>
      <c r="L6" s="2">
        <v>0.47299999999999998</v>
      </c>
      <c r="M6" s="3">
        <v>79.459999999999994</v>
      </c>
      <c r="Q6" s="20"/>
      <c r="R6" s="7">
        <v>0</v>
      </c>
      <c r="S6" s="7">
        <v>0</v>
      </c>
      <c r="T6" s="7">
        <v>0</v>
      </c>
      <c r="U6" s="8">
        <v>0</v>
      </c>
      <c r="X6" s="20"/>
      <c r="Y6" s="7">
        <v>0</v>
      </c>
      <c r="Z6" s="7">
        <v>0</v>
      </c>
      <c r="AA6" s="7">
        <v>0</v>
      </c>
      <c r="AB6" s="8">
        <v>0</v>
      </c>
    </row>
    <row r="7" spans="3:28" x14ac:dyDescent="0.35">
      <c r="C7" s="20" t="s">
        <v>55</v>
      </c>
      <c r="D7" s="2" t="s">
        <v>3</v>
      </c>
      <c r="E7" s="2" t="s">
        <v>10</v>
      </c>
      <c r="F7" s="2" t="s">
        <v>17</v>
      </c>
      <c r="G7" s="3" t="s">
        <v>22</v>
      </c>
      <c r="H7" s="1"/>
      <c r="I7" s="1"/>
      <c r="J7" s="19" t="s">
        <v>55</v>
      </c>
      <c r="K7" s="2">
        <v>0.20899999999999999</v>
      </c>
      <c r="L7" s="2">
        <v>0.52900000000000003</v>
      </c>
      <c r="M7" s="3">
        <v>83.03</v>
      </c>
      <c r="Q7" s="20"/>
      <c r="R7" s="7">
        <v>0</v>
      </c>
      <c r="S7" s="7">
        <v>0</v>
      </c>
      <c r="T7" s="7">
        <v>0</v>
      </c>
      <c r="U7" s="8">
        <v>0</v>
      </c>
      <c r="X7" s="20"/>
      <c r="Y7" s="7">
        <v>0</v>
      </c>
      <c r="Z7" s="7">
        <v>0</v>
      </c>
      <c r="AA7" s="7">
        <v>0</v>
      </c>
      <c r="AB7" s="8">
        <v>0</v>
      </c>
    </row>
    <row r="8" spans="3:28" x14ac:dyDescent="0.35">
      <c r="C8" s="20" t="s">
        <v>56</v>
      </c>
      <c r="D8" s="2" t="s">
        <v>4</v>
      </c>
      <c r="E8" s="2" t="s">
        <v>11</v>
      </c>
      <c r="F8" s="2" t="s">
        <v>17</v>
      </c>
      <c r="G8" s="3" t="s">
        <v>23</v>
      </c>
      <c r="H8" s="1"/>
      <c r="I8" s="1"/>
      <c r="J8" s="19" t="s">
        <v>56</v>
      </c>
      <c r="K8" s="2">
        <v>0.20899999999999999</v>
      </c>
      <c r="L8" s="2">
        <v>0.54200000000000004</v>
      </c>
      <c r="M8" s="3">
        <v>83.03</v>
      </c>
      <c r="Q8" s="20" t="s">
        <v>56</v>
      </c>
      <c r="R8" s="7">
        <v>0.60099999999999998</v>
      </c>
      <c r="S8" s="7">
        <v>0.86299999999999999</v>
      </c>
      <c r="T8" s="7">
        <v>0.254</v>
      </c>
      <c r="U8" s="8">
        <v>73.540000000000006</v>
      </c>
      <c r="X8" s="20" t="s">
        <v>56</v>
      </c>
      <c r="Y8" s="7">
        <v>0.61299999999999999</v>
      </c>
      <c r="Z8" s="7">
        <v>0.871</v>
      </c>
      <c r="AA8" s="7">
        <v>0.29299999999999998</v>
      </c>
      <c r="AB8" s="8">
        <v>79.040000000000006</v>
      </c>
    </row>
    <row r="9" spans="3:28" x14ac:dyDescent="0.35">
      <c r="C9" s="20" t="s">
        <v>57</v>
      </c>
      <c r="D9" s="2" t="s">
        <v>5</v>
      </c>
      <c r="E9" s="2" t="s">
        <v>12</v>
      </c>
      <c r="F9" s="2" t="s">
        <v>18</v>
      </c>
      <c r="G9" s="3" t="s">
        <v>24</v>
      </c>
      <c r="H9" s="1"/>
      <c r="I9" s="1"/>
      <c r="J9" s="19" t="s">
        <v>57</v>
      </c>
      <c r="K9" s="2">
        <v>0.184</v>
      </c>
      <c r="L9" s="2">
        <v>0.44</v>
      </c>
      <c r="M9" s="3">
        <v>79.459999999999994</v>
      </c>
      <c r="Q9" s="20" t="s">
        <v>60</v>
      </c>
      <c r="R9" s="7">
        <v>0.59199999999999997</v>
      </c>
      <c r="S9" s="7">
        <v>0.86599999999999999</v>
      </c>
      <c r="T9" s="7">
        <v>0.27200000000000002</v>
      </c>
      <c r="U9" s="8">
        <v>74.73</v>
      </c>
      <c r="X9" s="20" t="s">
        <v>60</v>
      </c>
      <c r="Y9" s="7">
        <v>0.62</v>
      </c>
      <c r="Z9" s="7">
        <v>0.872</v>
      </c>
      <c r="AA9" s="7">
        <v>0.307</v>
      </c>
      <c r="AB9" s="8">
        <v>80.959999999999994</v>
      </c>
    </row>
    <row r="10" spans="3:28" x14ac:dyDescent="0.35">
      <c r="C10" s="14" t="s">
        <v>59</v>
      </c>
      <c r="D10" s="4" t="s">
        <v>6</v>
      </c>
      <c r="E10" s="4" t="s">
        <v>13</v>
      </c>
      <c r="F10" s="4" t="s">
        <v>19</v>
      </c>
      <c r="G10" s="5" t="s">
        <v>25</v>
      </c>
      <c r="H10" s="1"/>
      <c r="I10" s="1"/>
      <c r="J10" s="21" t="s">
        <v>59</v>
      </c>
      <c r="K10" s="4">
        <v>8.3000000000000004E-2</v>
      </c>
      <c r="L10" s="4">
        <v>0.245</v>
      </c>
      <c r="M10" s="5">
        <v>35.71</v>
      </c>
      <c r="Q10" s="14" t="s">
        <v>59</v>
      </c>
      <c r="R10" s="9">
        <v>0.42699999999999999</v>
      </c>
      <c r="S10" s="9">
        <v>0.66400000000000003</v>
      </c>
      <c r="T10" s="9">
        <v>0.13200000000000001</v>
      </c>
      <c r="U10" s="10">
        <v>45.82</v>
      </c>
      <c r="X10" s="14" t="s">
        <v>59</v>
      </c>
      <c r="Y10" s="9">
        <v>0.48599999999999999</v>
      </c>
      <c r="Z10" s="9">
        <v>0.74099999999999999</v>
      </c>
      <c r="AA10" s="9">
        <v>0.16800000000000001</v>
      </c>
      <c r="AB10" s="10">
        <v>54.04</v>
      </c>
    </row>
    <row r="11" spans="3:28" x14ac:dyDescent="0.35"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3:28" x14ac:dyDescent="0.35">
      <c r="C12" s="6" t="s">
        <v>68</v>
      </c>
      <c r="D12" s="1"/>
      <c r="E12" s="1"/>
      <c r="F12" s="1"/>
      <c r="G12" s="1"/>
      <c r="H12" s="1"/>
      <c r="I12" s="1"/>
      <c r="J12" s="16" t="s">
        <v>72</v>
      </c>
      <c r="K12" s="1"/>
      <c r="L12" s="1"/>
      <c r="M12" s="1"/>
    </row>
    <row r="13" spans="3:28" x14ac:dyDescent="0.35">
      <c r="C13" s="13"/>
      <c r="D13" s="13" t="s">
        <v>61</v>
      </c>
      <c r="E13" s="13" t="s">
        <v>62</v>
      </c>
      <c r="F13" s="13" t="s">
        <v>63</v>
      </c>
      <c r="G13" s="13" t="s">
        <v>64</v>
      </c>
      <c r="H13" s="1"/>
      <c r="I13" s="1"/>
      <c r="J13" s="15"/>
      <c r="K13" s="15" t="s">
        <v>63</v>
      </c>
      <c r="L13" s="15" t="s">
        <v>65</v>
      </c>
      <c r="M13" s="15" t="s">
        <v>64</v>
      </c>
      <c r="Q13" s="6" t="s">
        <v>76</v>
      </c>
      <c r="X13" s="6" t="s">
        <v>78</v>
      </c>
    </row>
    <row r="14" spans="3:28" x14ac:dyDescent="0.35">
      <c r="C14" s="22" t="s">
        <v>52</v>
      </c>
      <c r="D14" s="2" t="s">
        <v>26</v>
      </c>
      <c r="E14" s="2" t="s">
        <v>33</v>
      </c>
      <c r="F14" s="2" t="s">
        <v>40</v>
      </c>
      <c r="G14" s="3" t="s">
        <v>45</v>
      </c>
      <c r="H14" s="1"/>
      <c r="I14" s="1"/>
      <c r="J14" s="18" t="s">
        <v>52</v>
      </c>
      <c r="K14" s="2">
        <v>0.39900000000000002</v>
      </c>
      <c r="L14" s="2">
        <v>0.74199999999999999</v>
      </c>
      <c r="M14" s="3">
        <v>92.85</v>
      </c>
      <c r="Q14" s="13"/>
      <c r="R14" s="13" t="s">
        <v>61</v>
      </c>
      <c r="S14" s="13" t="s">
        <v>62</v>
      </c>
      <c r="T14" s="13" t="s">
        <v>63</v>
      </c>
      <c r="U14" s="13" t="s">
        <v>64</v>
      </c>
      <c r="X14" s="13"/>
      <c r="Y14" s="13" t="s">
        <v>61</v>
      </c>
      <c r="Z14" s="13" t="s">
        <v>62</v>
      </c>
      <c r="AA14" s="13" t="s">
        <v>63</v>
      </c>
      <c r="AB14" s="13" t="s">
        <v>64</v>
      </c>
    </row>
    <row r="15" spans="3:28" x14ac:dyDescent="0.35">
      <c r="C15" s="20" t="s">
        <v>53</v>
      </c>
      <c r="D15" s="2" t="s">
        <v>27</v>
      </c>
      <c r="E15" s="2" t="s">
        <v>34</v>
      </c>
      <c r="F15" s="2" t="s">
        <v>41</v>
      </c>
      <c r="G15" s="3" t="s">
        <v>46</v>
      </c>
      <c r="H15" s="1"/>
      <c r="I15" s="1"/>
      <c r="J15" s="19" t="s">
        <v>53</v>
      </c>
      <c r="K15" s="2">
        <v>0.375</v>
      </c>
      <c r="L15" s="2">
        <v>0.749</v>
      </c>
      <c r="M15" s="3">
        <v>92.85</v>
      </c>
      <c r="Q15" s="20" t="s">
        <v>52</v>
      </c>
      <c r="R15" s="7">
        <f>R4-D4</f>
        <v>4.3000000000000038E-2</v>
      </c>
      <c r="S15" s="7">
        <f>S4-E4</f>
        <v>3.5000000000000031E-2</v>
      </c>
      <c r="T15" s="7">
        <f>T4-F4</f>
        <v>5.4999999999999966E-2</v>
      </c>
      <c r="U15" s="8">
        <f>U4-G4</f>
        <v>1.5900000000000034</v>
      </c>
      <c r="X15" s="20" t="s">
        <v>52</v>
      </c>
      <c r="Y15" s="7">
        <f>Y4-D4</f>
        <v>5.600000000000005E-2</v>
      </c>
      <c r="Z15" s="7">
        <f>Z4-E4</f>
        <v>3.9000000000000035E-2</v>
      </c>
      <c r="AA15" s="7">
        <f>AA4-F4</f>
        <v>7.6999999999999985E-2</v>
      </c>
      <c r="AB15" s="8">
        <f>AB4-G4</f>
        <v>6.0300000000000011</v>
      </c>
    </row>
    <row r="16" spans="3:28" x14ac:dyDescent="0.35">
      <c r="C16" s="20" t="s">
        <v>54</v>
      </c>
      <c r="D16" s="2" t="s">
        <v>28</v>
      </c>
      <c r="E16" s="2" t="s">
        <v>35</v>
      </c>
      <c r="F16" s="2">
        <v>0.35299999999999998</v>
      </c>
      <c r="G16" s="3" t="s">
        <v>47</v>
      </c>
      <c r="H16" s="1"/>
      <c r="I16" s="1"/>
      <c r="J16" s="19" t="s">
        <v>54</v>
      </c>
      <c r="K16" s="2">
        <v>0.35299999999999998</v>
      </c>
      <c r="L16" s="2">
        <v>0.754</v>
      </c>
      <c r="M16" s="3">
        <v>91.96</v>
      </c>
      <c r="Q16" s="20" t="s">
        <v>53</v>
      </c>
      <c r="R16" s="7">
        <f>R5-D5</f>
        <v>4.7999999999999932E-2</v>
      </c>
      <c r="S16" s="7">
        <f>S5-E5</f>
        <v>4.7000000000000042E-2</v>
      </c>
      <c r="T16" s="7">
        <f>T5-F5</f>
        <v>4.9000000000000016E-2</v>
      </c>
      <c r="U16" s="8">
        <f>U5-G5</f>
        <v>1.0600000000000023</v>
      </c>
      <c r="X16" s="20" t="s">
        <v>53</v>
      </c>
      <c r="Y16" s="7">
        <f>Y5-D5</f>
        <v>6.2999999999999945E-2</v>
      </c>
      <c r="Z16" s="7">
        <f>Z5-E5</f>
        <v>5.1000000000000045E-2</v>
      </c>
      <c r="AA16" s="7">
        <f>AA5-F5</f>
        <v>7.7999999999999986E-2</v>
      </c>
      <c r="AB16" s="8">
        <f>AB5-G5</f>
        <v>6.230000000000004</v>
      </c>
    </row>
    <row r="17" spans="3:28" x14ac:dyDescent="0.35">
      <c r="C17" s="20" t="s">
        <v>55</v>
      </c>
      <c r="D17" s="2" t="s">
        <v>29</v>
      </c>
      <c r="E17" s="2" t="s">
        <v>36</v>
      </c>
      <c r="F17" s="2">
        <v>0.308</v>
      </c>
      <c r="G17" s="3" t="s">
        <v>48</v>
      </c>
      <c r="H17" s="1"/>
      <c r="I17" s="1"/>
      <c r="J17" s="19" t="s">
        <v>55</v>
      </c>
      <c r="K17" s="2">
        <v>0.308</v>
      </c>
      <c r="L17" s="2">
        <v>0.71699999999999997</v>
      </c>
      <c r="M17" s="3">
        <v>89.28</v>
      </c>
      <c r="Q17" s="20" t="s">
        <v>56</v>
      </c>
      <c r="R17" s="7">
        <f>R8-D8</f>
        <v>6.899999999999995E-2</v>
      </c>
      <c r="S17" s="7">
        <f>S8-E8</f>
        <v>6.9999999999999951E-2</v>
      </c>
      <c r="T17" s="7">
        <f>T8-F8</f>
        <v>4.5000000000000012E-2</v>
      </c>
      <c r="U17" s="8">
        <f>U8-G8</f>
        <v>1.9200000000000017</v>
      </c>
      <c r="X17" s="20" t="s">
        <v>56</v>
      </c>
      <c r="Y17" s="7">
        <f>Y8-D8</f>
        <v>8.0999999999999961E-2</v>
      </c>
      <c r="Z17" s="7">
        <f>Z8-E8</f>
        <v>7.7999999999999958E-2</v>
      </c>
      <c r="AA17" s="7">
        <f>AA8-F8</f>
        <v>8.3999999999999991E-2</v>
      </c>
      <c r="AB17" s="8">
        <f>AB8-G8</f>
        <v>7.4200000000000017</v>
      </c>
    </row>
    <row r="18" spans="3:28" x14ac:dyDescent="0.35">
      <c r="C18" s="20" t="s">
        <v>56</v>
      </c>
      <c r="D18" s="2" t="s">
        <v>30</v>
      </c>
      <c r="E18" s="2" t="s">
        <v>37</v>
      </c>
      <c r="F18" s="2" t="s">
        <v>42</v>
      </c>
      <c r="G18" s="3" t="s">
        <v>49</v>
      </c>
      <c r="H18" s="1"/>
      <c r="I18" s="1"/>
      <c r="J18" s="19" t="s">
        <v>56</v>
      </c>
      <c r="K18" s="2">
        <v>0.33400000000000002</v>
      </c>
      <c r="L18" s="2">
        <v>0.74299999999999999</v>
      </c>
      <c r="M18" s="3">
        <v>91.07</v>
      </c>
      <c r="Q18" s="20" t="s">
        <v>60</v>
      </c>
      <c r="R18" s="7">
        <f>R9-D9</f>
        <v>0.11599999999999999</v>
      </c>
      <c r="S18" s="7">
        <f>S9-E9</f>
        <v>0.15400000000000003</v>
      </c>
      <c r="T18" s="7">
        <f>T9-F9</f>
        <v>8.8000000000000023E-2</v>
      </c>
      <c r="U18" s="8">
        <f>U9-G9</f>
        <v>2.3200000000000074</v>
      </c>
      <c r="X18" s="20" t="s">
        <v>60</v>
      </c>
      <c r="Y18" s="7">
        <f>Y9-D9</f>
        <v>0.14400000000000002</v>
      </c>
      <c r="Z18" s="7">
        <f>Z9-E9</f>
        <v>0.16000000000000003</v>
      </c>
      <c r="AA18" s="7">
        <f>AA9-F9</f>
        <v>0.123</v>
      </c>
      <c r="AB18" s="8">
        <f>AB9-G9</f>
        <v>8.5499999999999972</v>
      </c>
    </row>
    <row r="19" spans="3:28" x14ac:dyDescent="0.35">
      <c r="C19" s="20" t="s">
        <v>57</v>
      </c>
      <c r="D19" s="2" t="s">
        <v>31</v>
      </c>
      <c r="E19" s="2" t="s">
        <v>38</v>
      </c>
      <c r="F19" s="2" t="s">
        <v>43</v>
      </c>
      <c r="G19" s="3" t="s">
        <v>50</v>
      </c>
      <c r="H19" s="1"/>
      <c r="I19" s="1"/>
      <c r="J19" s="19" t="s">
        <v>57</v>
      </c>
      <c r="K19" s="2">
        <v>0.36299999999999999</v>
      </c>
      <c r="L19" s="2">
        <v>0.72499999999999998</v>
      </c>
      <c r="M19" s="3">
        <v>91.96</v>
      </c>
      <c r="Q19" s="20" t="s">
        <v>59</v>
      </c>
      <c r="R19" s="7">
        <f>R10-D10</f>
        <v>0.14699999999999996</v>
      </c>
      <c r="S19" s="7">
        <f>S10-E10</f>
        <v>0.22600000000000003</v>
      </c>
      <c r="T19" s="7">
        <f>T10-F10</f>
        <v>4.9000000000000002E-2</v>
      </c>
      <c r="U19" s="8">
        <f>U10-G10</f>
        <v>2.990000000000002</v>
      </c>
      <c r="X19" s="20" t="s">
        <v>59</v>
      </c>
      <c r="Y19" s="7">
        <f>Y10-D10</f>
        <v>0.20599999999999996</v>
      </c>
      <c r="Z19" s="7">
        <f>Z10-E10</f>
        <v>0.30299999999999999</v>
      </c>
      <c r="AA19" s="7">
        <f>AA10-F10</f>
        <v>8.5000000000000006E-2</v>
      </c>
      <c r="AB19" s="8">
        <f>AB10-G10</f>
        <v>11.21</v>
      </c>
    </row>
    <row r="20" spans="3:28" x14ac:dyDescent="0.35">
      <c r="C20" s="14" t="s">
        <v>58</v>
      </c>
      <c r="D20" s="4" t="s">
        <v>32</v>
      </c>
      <c r="E20" s="4" t="s">
        <v>39</v>
      </c>
      <c r="F20" s="4" t="s">
        <v>44</v>
      </c>
      <c r="G20" s="5" t="s">
        <v>51</v>
      </c>
      <c r="H20" s="1"/>
      <c r="I20" s="1"/>
      <c r="J20" s="21" t="s">
        <v>59</v>
      </c>
      <c r="K20" s="4">
        <v>0.113</v>
      </c>
      <c r="L20" s="4">
        <v>0.30099999999999999</v>
      </c>
      <c r="M20" s="5">
        <v>42.85</v>
      </c>
      <c r="Q20" s="13" t="s">
        <v>66</v>
      </c>
      <c r="R20" s="11">
        <f>AVERAGEA(R15:R19)</f>
        <v>8.4599999999999981E-2</v>
      </c>
      <c r="S20" s="11">
        <f t="shared" ref="S20:U20" si="0">AVERAGEA(S15:S19)</f>
        <v>0.10640000000000001</v>
      </c>
      <c r="T20" s="11">
        <f t="shared" si="0"/>
        <v>5.7200000000000008E-2</v>
      </c>
      <c r="U20" s="12">
        <f t="shared" si="0"/>
        <v>1.9760000000000033</v>
      </c>
      <c r="X20" s="13" t="s">
        <v>66</v>
      </c>
      <c r="Y20" s="11">
        <f>AVERAGEA(Y15:Y19)</f>
        <v>0.10999999999999999</v>
      </c>
      <c r="Z20" s="11">
        <f t="shared" ref="Z20:AA20" si="1">AVERAGEA(Z15:Z19)</f>
        <v>0.12620000000000001</v>
      </c>
      <c r="AA20" s="11">
        <f t="shared" si="1"/>
        <v>8.9400000000000007E-2</v>
      </c>
      <c r="AB20" s="12">
        <f>AVERAGEA(AB15:AB19)</f>
        <v>7.8880000000000008</v>
      </c>
    </row>
    <row r="21" spans="3:28" x14ac:dyDescent="0.35"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3:28" x14ac:dyDescent="0.35">
      <c r="C22" s="6" t="s">
        <v>69</v>
      </c>
      <c r="H22" s="1"/>
      <c r="I22" s="1"/>
      <c r="J22" s="17" t="s">
        <v>73</v>
      </c>
      <c r="X22" s="23" t="s">
        <v>79</v>
      </c>
    </row>
    <row r="23" spans="3:28" x14ac:dyDescent="0.35">
      <c r="C23" s="13"/>
      <c r="D23" s="15" t="s">
        <v>66</v>
      </c>
      <c r="E23" s="15" t="s">
        <v>66</v>
      </c>
      <c r="F23" s="15" t="s">
        <v>66</v>
      </c>
      <c r="G23" s="15" t="s">
        <v>66</v>
      </c>
      <c r="H23" s="1"/>
      <c r="I23" s="1"/>
      <c r="J23" s="15"/>
      <c r="K23" s="15" t="s">
        <v>66</v>
      </c>
      <c r="L23" s="15" t="s">
        <v>66</v>
      </c>
      <c r="M23" s="15" t="s">
        <v>66</v>
      </c>
      <c r="Q23" s="6" t="s">
        <v>77</v>
      </c>
      <c r="X23" s="13"/>
      <c r="Y23" s="13" t="s">
        <v>61</v>
      </c>
      <c r="Z23" s="13" t="s">
        <v>62</v>
      </c>
      <c r="AA23" s="13" t="s">
        <v>63</v>
      </c>
      <c r="AB23" s="13" t="s">
        <v>64</v>
      </c>
    </row>
    <row r="24" spans="3:28" x14ac:dyDescent="0.35">
      <c r="C24" s="22" t="s">
        <v>52</v>
      </c>
      <c r="D24" s="2">
        <f>D14-D4</f>
        <v>0.1090000000000001</v>
      </c>
      <c r="E24" s="2">
        <f>E14-E4</f>
        <v>9.2000000000000082E-2</v>
      </c>
      <c r="F24" s="2">
        <f>F14-F4</f>
        <v>0.16900000000000001</v>
      </c>
      <c r="G24" s="3">
        <f>G14-G4</f>
        <v>7.3599999999999994</v>
      </c>
      <c r="H24" s="1"/>
      <c r="I24" s="1"/>
      <c r="J24" s="18" t="s">
        <v>52</v>
      </c>
      <c r="K24" s="2">
        <f>K14-K4</f>
        <v>0.16900000000000001</v>
      </c>
      <c r="L24" s="2">
        <f>L14-L4</f>
        <v>0.16000000000000003</v>
      </c>
      <c r="M24" s="3">
        <f>M14-M4</f>
        <v>5.3499999999999943</v>
      </c>
      <c r="Q24" s="13"/>
      <c r="R24" s="13" t="s">
        <v>61</v>
      </c>
      <c r="S24" s="13" t="s">
        <v>62</v>
      </c>
      <c r="T24" s="13" t="s">
        <v>63</v>
      </c>
      <c r="U24" s="13" t="s">
        <v>64</v>
      </c>
      <c r="X24" s="20" t="s">
        <v>52</v>
      </c>
      <c r="Y24" s="7">
        <f>Y4-D14</f>
        <v>-5.3000000000000047E-2</v>
      </c>
      <c r="Z24" s="7">
        <f>Z4-E14</f>
        <v>-5.3000000000000047E-2</v>
      </c>
      <c r="AA24" s="7">
        <f>AA4-F14</f>
        <v>-9.2000000000000026E-2</v>
      </c>
      <c r="AB24" s="8">
        <f>AB4-G14</f>
        <v>-1.3299999999999983</v>
      </c>
    </row>
    <row r="25" spans="3:28" x14ac:dyDescent="0.35">
      <c r="C25" s="20" t="s">
        <v>53</v>
      </c>
      <c r="D25" s="2">
        <f>D15-D5</f>
        <v>0.11699999999999999</v>
      </c>
      <c r="E25" s="2">
        <f>E15-E5</f>
        <v>0.1070000000000001</v>
      </c>
      <c r="F25" s="2">
        <f>F15-F5</f>
        <v>0.14399999999999999</v>
      </c>
      <c r="G25" s="3">
        <f>G15-G5</f>
        <v>7.4900000000000091</v>
      </c>
      <c r="H25" s="1"/>
      <c r="I25" s="1"/>
      <c r="J25" s="19" t="s">
        <v>53</v>
      </c>
      <c r="K25" s="2">
        <f>K15-K5</f>
        <v>0.14399999999999999</v>
      </c>
      <c r="L25" s="2">
        <f>L15-L5</f>
        <v>0.19399999999999995</v>
      </c>
      <c r="M25" s="3">
        <f>M15-M5</f>
        <v>5.3499999999999943</v>
      </c>
      <c r="Q25" s="20" t="s">
        <v>52</v>
      </c>
      <c r="R25" s="7">
        <f t="shared" ref="R25:U26" si="2">R4-D14</f>
        <v>-6.6000000000000059E-2</v>
      </c>
      <c r="S25" s="7">
        <f t="shared" si="2"/>
        <v>-5.7000000000000051E-2</v>
      </c>
      <c r="T25" s="7">
        <f t="shared" si="2"/>
        <v>-0.11400000000000005</v>
      </c>
      <c r="U25" s="8">
        <f t="shared" si="2"/>
        <v>-5.769999999999996</v>
      </c>
      <c r="X25" s="20" t="s">
        <v>53</v>
      </c>
      <c r="Y25" s="7">
        <f>Y5-D15</f>
        <v>-5.4000000000000048E-2</v>
      </c>
      <c r="Z25" s="7">
        <f>Z5-E15</f>
        <v>-5.600000000000005E-2</v>
      </c>
      <c r="AA25" s="7">
        <f>AA5-F15</f>
        <v>-6.6000000000000003E-2</v>
      </c>
      <c r="AB25" s="8">
        <f>AB5-G15</f>
        <v>-1.2600000000000051</v>
      </c>
    </row>
    <row r="26" spans="3:28" x14ac:dyDescent="0.35">
      <c r="C26" s="20" t="s">
        <v>54</v>
      </c>
      <c r="D26" s="2">
        <f>D16-D6</f>
        <v>0.14300000000000002</v>
      </c>
      <c r="E26" s="2">
        <f>E16-E6</f>
        <v>0.14500000000000002</v>
      </c>
      <c r="F26" s="2">
        <f>F16-F6</f>
        <v>0.15499999999999997</v>
      </c>
      <c r="G26" s="3">
        <f>G16-G6</f>
        <v>8.8100000000000023</v>
      </c>
      <c r="H26" s="1"/>
      <c r="I26" s="1"/>
      <c r="J26" s="19" t="s">
        <v>54</v>
      </c>
      <c r="K26" s="2">
        <f>K16-K6</f>
        <v>0.15499999999999997</v>
      </c>
      <c r="L26" s="2">
        <f>L16-L6</f>
        <v>0.28100000000000003</v>
      </c>
      <c r="M26" s="3">
        <f>M16-M6</f>
        <v>12.5</v>
      </c>
      <c r="Q26" s="20" t="s">
        <v>53</v>
      </c>
      <c r="R26" s="7">
        <f t="shared" si="2"/>
        <v>-6.9000000000000061E-2</v>
      </c>
      <c r="S26" s="7">
        <f t="shared" si="2"/>
        <v>-6.0000000000000053E-2</v>
      </c>
      <c r="T26" s="7">
        <f t="shared" si="2"/>
        <v>-9.4999999999999973E-2</v>
      </c>
      <c r="U26" s="8">
        <f t="shared" si="2"/>
        <v>-6.4300000000000068</v>
      </c>
      <c r="X26" s="20" t="s">
        <v>56</v>
      </c>
      <c r="Y26" s="7">
        <f>Y8-D18</f>
        <v>-3.5000000000000031E-2</v>
      </c>
      <c r="Z26" s="7">
        <f>Z8-E18</f>
        <v>-3.0000000000000027E-2</v>
      </c>
      <c r="AA26" s="7">
        <f>AA8-F18</f>
        <v>-4.1000000000000036E-2</v>
      </c>
      <c r="AB26" s="8">
        <f>AB8-G18</f>
        <v>-0.65999999999999659</v>
      </c>
    </row>
    <row r="27" spans="3:28" x14ac:dyDescent="0.35">
      <c r="C27" s="20" t="s">
        <v>55</v>
      </c>
      <c r="D27" s="2">
        <f>D17-D7</f>
        <v>0.10599999999999998</v>
      </c>
      <c r="E27" s="2">
        <f>E17-E7</f>
        <v>0.10199999999999998</v>
      </c>
      <c r="F27" s="2">
        <f>F17-F7</f>
        <v>9.9000000000000005E-2</v>
      </c>
      <c r="G27" s="3">
        <f>G17-G7</f>
        <v>7.3599999999999994</v>
      </c>
      <c r="H27" s="1"/>
      <c r="I27" s="1"/>
      <c r="J27" s="19" t="s">
        <v>55</v>
      </c>
      <c r="K27" s="2">
        <f>K17-K7</f>
        <v>9.9000000000000005E-2</v>
      </c>
      <c r="L27" s="2">
        <f>L17-L7</f>
        <v>0.18799999999999994</v>
      </c>
      <c r="M27" s="3">
        <f>M17-M7</f>
        <v>6.25</v>
      </c>
      <c r="Q27" s="20" t="s">
        <v>56</v>
      </c>
      <c r="R27" s="7">
        <f t="shared" ref="R27:R29" si="3">R8-D18</f>
        <v>-4.7000000000000042E-2</v>
      </c>
      <c r="S27" s="7">
        <f t="shared" ref="S27:U29" si="4">S8-E18</f>
        <v>-3.8000000000000034E-2</v>
      </c>
      <c r="T27" s="7">
        <f t="shared" si="4"/>
        <v>-8.0000000000000016E-2</v>
      </c>
      <c r="U27" s="8">
        <f t="shared" si="4"/>
        <v>-6.1599999999999966</v>
      </c>
      <c r="X27" s="20" t="s">
        <v>60</v>
      </c>
      <c r="Y27" s="7">
        <f>Y9-D19</f>
        <v>-4.0000000000000036E-2</v>
      </c>
      <c r="Z27" s="7">
        <f>Z9-E19</f>
        <v>-2.7000000000000024E-2</v>
      </c>
      <c r="AA27" s="7">
        <f>AA9-F19</f>
        <v>-5.5999999999999994E-2</v>
      </c>
      <c r="AB27" s="8">
        <f>AB9-G19</f>
        <v>-1.5900000000000034</v>
      </c>
    </row>
    <row r="28" spans="3:28" x14ac:dyDescent="0.35">
      <c r="C28" s="20" t="s">
        <v>56</v>
      </c>
      <c r="D28" s="2">
        <f>D18-D8</f>
        <v>0.11599999999999999</v>
      </c>
      <c r="E28" s="2">
        <f>E18-E8</f>
        <v>0.10799999999999998</v>
      </c>
      <c r="F28" s="2">
        <f>F18-F8</f>
        <v>0.12500000000000003</v>
      </c>
      <c r="G28" s="3">
        <f>G18-G8</f>
        <v>8.0799999999999983</v>
      </c>
      <c r="H28" s="1"/>
      <c r="I28" s="1"/>
      <c r="J28" s="19" t="s">
        <v>56</v>
      </c>
      <c r="K28" s="2">
        <f>K18-K8</f>
        <v>0.12500000000000003</v>
      </c>
      <c r="L28" s="2">
        <f>L18-L8</f>
        <v>0.20099999999999996</v>
      </c>
      <c r="M28" s="3">
        <f>M18-M8</f>
        <v>8.039999999999992</v>
      </c>
      <c r="Q28" s="20" t="s">
        <v>60</v>
      </c>
      <c r="R28" s="7">
        <f t="shared" si="3"/>
        <v>-6.800000000000006E-2</v>
      </c>
      <c r="S28" s="7">
        <f t="shared" si="4"/>
        <v>-3.3000000000000029E-2</v>
      </c>
      <c r="T28" s="7">
        <f t="shared" si="4"/>
        <v>-9.099999999999997E-2</v>
      </c>
      <c r="U28" s="8">
        <f t="shared" si="4"/>
        <v>-7.8199999999999932</v>
      </c>
      <c r="X28" s="20" t="s">
        <v>59</v>
      </c>
      <c r="Y28" s="7">
        <f>Y10-D20</f>
        <v>0.12</v>
      </c>
      <c r="Z28" s="7">
        <f>Z10-E20</f>
        <v>0.17100000000000004</v>
      </c>
      <c r="AA28" s="7">
        <f>AA10-F20</f>
        <v>5.5000000000000007E-2</v>
      </c>
      <c r="AB28" s="8">
        <f>AB10-G20</f>
        <v>0.65999999999999659</v>
      </c>
    </row>
    <row r="29" spans="3:28" x14ac:dyDescent="0.35">
      <c r="C29" s="20" t="s">
        <v>57</v>
      </c>
      <c r="D29" s="2">
        <f>D19-D9</f>
        <v>0.18400000000000005</v>
      </c>
      <c r="E29" s="2">
        <f>E19-E9</f>
        <v>0.18700000000000006</v>
      </c>
      <c r="F29" s="2">
        <f>F19-F9</f>
        <v>0.17899999999999999</v>
      </c>
      <c r="G29" s="3">
        <f>G19-G9</f>
        <v>10.14</v>
      </c>
      <c r="H29" s="1"/>
      <c r="I29" s="1"/>
      <c r="J29" s="19" t="s">
        <v>57</v>
      </c>
      <c r="K29" s="2">
        <f>K19-K9</f>
        <v>0.17899999999999999</v>
      </c>
      <c r="L29" s="2">
        <f>L19-L9</f>
        <v>0.28499999999999998</v>
      </c>
      <c r="M29" s="3">
        <f>M19-M9</f>
        <v>12.5</v>
      </c>
      <c r="Q29" s="20" t="s">
        <v>59</v>
      </c>
      <c r="R29" s="7">
        <f t="shared" si="3"/>
        <v>6.0999999999999999E-2</v>
      </c>
      <c r="S29" s="7">
        <f t="shared" si="4"/>
        <v>9.4000000000000083E-2</v>
      </c>
      <c r="T29" s="7">
        <f t="shared" si="4"/>
        <v>1.9000000000000003E-2</v>
      </c>
      <c r="U29" s="8">
        <f t="shared" si="4"/>
        <v>-7.5600000000000023</v>
      </c>
      <c r="X29" s="13" t="s">
        <v>66</v>
      </c>
      <c r="Y29" s="11">
        <f>AVERAGEA(Y24:Y28)</f>
        <v>-1.2400000000000033E-2</v>
      </c>
      <c r="Z29" s="11">
        <f t="shared" ref="Z29:AA29" si="5">AVERAGEA(Z24:Z28)</f>
        <v>9.9999999999997877E-4</v>
      </c>
      <c r="AA29" s="11">
        <f t="shared" si="5"/>
        <v>-4.0000000000000015E-2</v>
      </c>
      <c r="AB29" s="12">
        <f>AVERAGEA(AB24:AB28)</f>
        <v>-0.83600000000000141</v>
      </c>
    </row>
    <row r="30" spans="3:28" x14ac:dyDescent="0.35">
      <c r="C30" s="20" t="s">
        <v>59</v>
      </c>
      <c r="D30" s="2">
        <f>D20-D10</f>
        <v>8.5999999999999965E-2</v>
      </c>
      <c r="E30" s="2">
        <f>E20-E10</f>
        <v>0.13199999999999995</v>
      </c>
      <c r="F30" s="2">
        <f>F20-F10</f>
        <v>0.03</v>
      </c>
      <c r="G30" s="3">
        <f>G20-G10</f>
        <v>10.550000000000004</v>
      </c>
      <c r="J30" s="19" t="s">
        <v>59</v>
      </c>
      <c r="K30" s="2">
        <f>K20-K10</f>
        <v>0.03</v>
      </c>
      <c r="L30" s="2">
        <f>L20-L10</f>
        <v>5.5999999999999994E-2</v>
      </c>
      <c r="M30" s="3">
        <f>M20-M10</f>
        <v>7.1400000000000006</v>
      </c>
      <c r="Q30" s="13" t="s">
        <v>66</v>
      </c>
      <c r="R30" s="11">
        <f>AVERAGEA(R25:R29)</f>
        <v>-3.7800000000000042E-2</v>
      </c>
      <c r="S30" s="11">
        <f t="shared" ref="S30:U30" si="6">AVERAGEA(S25:S29)</f>
        <v>-1.8800000000000018E-2</v>
      </c>
      <c r="T30" s="11">
        <f t="shared" si="6"/>
        <v>-7.22E-2</v>
      </c>
      <c r="U30" s="12">
        <f t="shared" si="6"/>
        <v>-6.7479999999999993</v>
      </c>
    </row>
    <row r="31" spans="3:28" x14ac:dyDescent="0.35">
      <c r="C31" s="13" t="s">
        <v>70</v>
      </c>
      <c r="D31" s="11">
        <f>AVERAGEA(D24:D30)</f>
        <v>0.12300000000000001</v>
      </c>
      <c r="E31" s="11">
        <f>AVERAGEA(E24:E30)</f>
        <v>0.12471428571428575</v>
      </c>
      <c r="F31" s="11">
        <f>AVERAGEA(F24:F30)</f>
        <v>0.12871428571428573</v>
      </c>
      <c r="G31" s="12">
        <f>AVERAGEA(G24:G30)</f>
        <v>8.5414285714285736</v>
      </c>
      <c r="J31" s="13" t="s">
        <v>70</v>
      </c>
      <c r="K31" s="11">
        <f>AVERAGEA(K24:K30)</f>
        <v>0.12871428571428573</v>
      </c>
      <c r="L31" s="11">
        <f>AVERAGEA(L24:L30)</f>
        <v>0.19500000000000001</v>
      </c>
      <c r="M31" s="12">
        <f>AVERAGEA(M24:M30)</f>
        <v>8.1614285714285693</v>
      </c>
      <c r="X31" s="6" t="s">
        <v>80</v>
      </c>
    </row>
    <row r="32" spans="3:28" x14ac:dyDescent="0.35">
      <c r="X32" s="13"/>
      <c r="Y32" s="13" t="s">
        <v>61</v>
      </c>
      <c r="Z32" s="13" t="s">
        <v>62</v>
      </c>
      <c r="AA32" s="13" t="s">
        <v>63</v>
      </c>
      <c r="AB32" s="13" t="s">
        <v>64</v>
      </c>
    </row>
    <row r="33" spans="24:28" x14ac:dyDescent="0.35">
      <c r="X33" s="20" t="s">
        <v>52</v>
      </c>
      <c r="Y33" s="7">
        <f>Y4-R4</f>
        <v>1.3000000000000012E-2</v>
      </c>
      <c r="Z33" s="7">
        <f>Z4-S4</f>
        <v>4.0000000000000036E-3</v>
      </c>
      <c r="AA33" s="7">
        <f>AA4-T4</f>
        <v>2.200000000000002E-2</v>
      </c>
      <c r="AB33" s="8">
        <f>AB4-U4</f>
        <v>4.4399999999999977</v>
      </c>
    </row>
    <row r="34" spans="24:28" x14ac:dyDescent="0.35">
      <c r="X34" s="20" t="s">
        <v>53</v>
      </c>
      <c r="Y34" s="7">
        <f>Y5-R5</f>
        <v>1.5000000000000013E-2</v>
      </c>
      <c r="Z34" s="7">
        <f>Z5-S5</f>
        <v>4.0000000000000036E-3</v>
      </c>
      <c r="AA34" s="7">
        <f>AA5-T5</f>
        <v>2.899999999999997E-2</v>
      </c>
      <c r="AB34" s="8">
        <f>AB5-U5</f>
        <v>5.1700000000000017</v>
      </c>
    </row>
    <row r="35" spans="24:28" x14ac:dyDescent="0.35">
      <c r="X35" s="20" t="s">
        <v>56</v>
      </c>
      <c r="Y35" s="7">
        <f>Y8-R8</f>
        <v>1.2000000000000011E-2</v>
      </c>
      <c r="Z35" s="7">
        <f>Z8-S8</f>
        <v>8.0000000000000071E-3</v>
      </c>
      <c r="AA35" s="7">
        <f>AA8-T8</f>
        <v>3.8999999999999979E-2</v>
      </c>
      <c r="AB35" s="8">
        <f>AB8-U8</f>
        <v>5.5</v>
      </c>
    </row>
    <row r="36" spans="24:28" x14ac:dyDescent="0.35">
      <c r="X36" s="20" t="s">
        <v>60</v>
      </c>
      <c r="Y36" s="7">
        <f>Y9-R9</f>
        <v>2.8000000000000025E-2</v>
      </c>
      <c r="Z36" s="7">
        <f>Z9-S9</f>
        <v>6.0000000000000053E-3</v>
      </c>
      <c r="AA36" s="7">
        <f>AA9-T9</f>
        <v>3.4999999999999976E-2</v>
      </c>
      <c r="AB36" s="8">
        <f>AB9-U9</f>
        <v>6.2299999999999898</v>
      </c>
    </row>
    <row r="37" spans="24:28" x14ac:dyDescent="0.35">
      <c r="X37" s="20" t="s">
        <v>59</v>
      </c>
      <c r="Y37" s="7">
        <f>Y10-R10</f>
        <v>5.8999999999999997E-2</v>
      </c>
      <c r="Z37" s="7">
        <f>Z10-S10</f>
        <v>7.6999999999999957E-2</v>
      </c>
      <c r="AA37" s="7">
        <f>AA10-T10</f>
        <v>3.6000000000000004E-2</v>
      </c>
      <c r="AB37" s="8">
        <f>AB10-U10</f>
        <v>8.2199999999999989</v>
      </c>
    </row>
    <row r="38" spans="24:28" x14ac:dyDescent="0.35">
      <c r="X38" s="13" t="s">
        <v>66</v>
      </c>
      <c r="Y38" s="11">
        <f>AVERAGEA(Y33:Y37)</f>
        <v>2.5400000000000013E-2</v>
      </c>
      <c r="Z38" s="11">
        <f t="shared" ref="Z38:AB38" si="7">AVERAGEA(Z33:Z37)</f>
        <v>1.9799999999999995E-2</v>
      </c>
      <c r="AA38" s="11">
        <f t="shared" si="7"/>
        <v>3.2199999999999993E-2</v>
      </c>
      <c r="AB38" s="12">
        <f t="shared" si="7"/>
        <v>5.9119999999999973</v>
      </c>
    </row>
  </sheetData>
  <pageMargins left="0.7" right="0.7" top="0.78740157499999996" bottom="0.78740157499999996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m9</dc:creator>
  <cp:lastModifiedBy>m9</cp:lastModifiedBy>
  <cp:lastPrinted>2024-08-16T13:42:23Z</cp:lastPrinted>
  <dcterms:created xsi:type="dcterms:W3CDTF">2024-08-16T12:13:35Z</dcterms:created>
  <dcterms:modified xsi:type="dcterms:W3CDTF">2024-09-19T08:28:42Z</dcterms:modified>
</cp:coreProperties>
</file>