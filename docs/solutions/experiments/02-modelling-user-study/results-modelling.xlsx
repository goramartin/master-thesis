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xr:revisionPtr revIDLastSave="0" documentId="13_ncr:1_{B822EB2B-4D2D-44E7-97C1-090D7959B64C}" xr6:coauthVersionLast="47" xr6:coauthVersionMax="47" xr10:uidLastSave="{00000000-0000-0000-0000-000000000000}"/>
  <bookViews>
    <workbookView xWindow="28680" yWindow="-120" windowWidth="29040" windowHeight="15990" activeTab="1" xr2:uid="{B80433A3-7C3A-473D-AE6B-EAD78BD7B692}"/>
  </bookViews>
  <sheets>
    <sheet name="Graf1" sheetId="2" r:id="rId1"/>
    <sheet name="Lis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A77" i="1" l="1"/>
  <c r="AA49" i="1"/>
  <c r="AA24" i="1"/>
  <c r="Z24" i="1"/>
  <c r="Z77" i="1"/>
  <c r="Z49" i="1"/>
  <c r="Y77" i="1"/>
  <c r="Y49" i="1"/>
  <c r="Y24" i="1"/>
  <c r="N77" i="1"/>
  <c r="O77" i="1"/>
  <c r="P77" i="1"/>
  <c r="Q77" i="1"/>
  <c r="R77" i="1"/>
  <c r="S77" i="1"/>
  <c r="T77" i="1"/>
  <c r="U77" i="1"/>
  <c r="V77" i="1"/>
  <c r="W77" i="1"/>
  <c r="X77" i="1"/>
  <c r="M77" i="1"/>
  <c r="N49" i="1"/>
  <c r="O49" i="1"/>
  <c r="P49" i="1"/>
  <c r="Q49" i="1"/>
  <c r="R49" i="1"/>
  <c r="S49" i="1"/>
  <c r="T49" i="1"/>
  <c r="U49" i="1"/>
  <c r="V49" i="1"/>
  <c r="W49" i="1"/>
  <c r="X49" i="1"/>
  <c r="M49" i="1"/>
  <c r="M24" i="1"/>
  <c r="N24" i="1"/>
  <c r="O24" i="1"/>
  <c r="P24" i="1"/>
  <c r="Q24" i="1"/>
  <c r="R24" i="1"/>
  <c r="S24" i="1"/>
  <c r="T24" i="1"/>
  <c r="U24" i="1"/>
  <c r="V24" i="1"/>
  <c r="W24" i="1"/>
  <c r="X24" i="1"/>
</calcChain>
</file>

<file path=xl/sharedStrings.xml><?xml version="1.0" encoding="utf-8"?>
<sst xmlns="http://schemas.openxmlformats.org/spreadsheetml/2006/main" count="128" uniqueCount="62">
  <si>
    <t>Turistic destination</t>
  </si>
  <si>
    <t>official website</t>
  </si>
  <si>
    <t>opening times</t>
  </si>
  <si>
    <t>entry fees</t>
  </si>
  <si>
    <t>operator -&gt; organization</t>
  </si>
  <si>
    <t>operator -&gt; organization - phone number</t>
  </si>
  <si>
    <t>operator -&gt; organization - email address</t>
  </si>
  <si>
    <t>language used</t>
  </si>
  <si>
    <t xml:space="preserve">maximum capacity </t>
  </si>
  <si>
    <t>disabled accessibility</t>
  </si>
  <si>
    <t>street address</t>
  </si>
  <si>
    <t>coordinate location</t>
  </si>
  <si>
    <t>scholarly article</t>
  </si>
  <si>
    <t>title</t>
  </si>
  <si>
    <t>publication date</t>
  </si>
  <si>
    <t>published in -&gt; scientific journal</t>
  </si>
  <si>
    <t>published in -&gt; scientific journal - title</t>
  </si>
  <si>
    <t>published in -&gt; scientific journal - official website</t>
  </si>
  <si>
    <t>cites work -&gt; scholarly article</t>
  </si>
  <si>
    <t>cites work -&gt; scholarly article - doi</t>
  </si>
  <si>
    <t>doi</t>
  </si>
  <si>
    <t>cited by &lt;- scholarly article</t>
  </si>
  <si>
    <t>cited by &lt;- scholarly article - doi</t>
  </si>
  <si>
    <t>main subject -&gt; genes</t>
  </si>
  <si>
    <t>main subject -&gt; genes - hgnc identifier</t>
  </si>
  <si>
    <t>main subject -&gt; genes / genetic association -&gt; rare disease</t>
  </si>
  <si>
    <t>main subject -&gt; genes / genetic association -&gt; rare disease / symptoms -&gt; symptoms</t>
  </si>
  <si>
    <t>main subject -&gt; genes / genetic association -&gt; rare disease / symptoms -&gt; symptoms - short name</t>
  </si>
  <si>
    <t>main subject -&gt; genes / genetic association -&gt; rare disease / symptoms -&gt; symptoms - snomec ct id</t>
  </si>
  <si>
    <t>main subject -&gt; genes / genetic association -&gt; rare disease - short name</t>
  </si>
  <si>
    <t>main subject -&gt; genes / genetic association -&gt; rare disease - snomed ct id</t>
  </si>
  <si>
    <t>main subject -&gt; genes / encodes -&gt; protein</t>
  </si>
  <si>
    <t xml:space="preserve">main subject -&gt; genes / chromosone -&gt; chromosone </t>
  </si>
  <si>
    <t>main subject -&gt; genes / chromosone -&gt; chromosone - 3d model</t>
  </si>
  <si>
    <t>Album</t>
  </si>
  <si>
    <t>number parts of this work</t>
  </si>
  <si>
    <t>review score</t>
  </si>
  <si>
    <t>spotify albym id</t>
  </si>
  <si>
    <t>performer -&gt; musical group</t>
  </si>
  <si>
    <t>performer -&gt; musical group - inception</t>
  </si>
  <si>
    <t>performer -&gt; musical group - name</t>
  </si>
  <si>
    <t>performer -&gt; musical group - members count</t>
  </si>
  <si>
    <t>performer -&gt; musical group - spotify artist id</t>
  </si>
  <si>
    <t xml:space="preserve">performer -&gt; musical group / members of &lt;- human </t>
  </si>
  <si>
    <t>performer -&gt; musical group / members of &lt;- human - birth name</t>
  </si>
  <si>
    <t>performer -&gt; musical group / members of &lt;- human - pseudonym</t>
  </si>
  <si>
    <t>performer -&gt; musical group / members of &lt;- human / country -&gt; country</t>
  </si>
  <si>
    <t xml:space="preserve">genre -&gt; music genre </t>
  </si>
  <si>
    <t>genre -&gt; music genre - label</t>
  </si>
  <si>
    <t>genre -&gt; music genre - url</t>
  </si>
  <si>
    <t>has part -&gt; songs</t>
  </si>
  <si>
    <t>has part -&gt; songs - duration</t>
  </si>
  <si>
    <t>has part -&gt; songs - title</t>
  </si>
  <si>
    <t>has part -&gt; songs - audio/video</t>
  </si>
  <si>
    <t>has part -&gt; songs / lyrics -&gt; human</t>
  </si>
  <si>
    <t>has part -&gt; songs / lyrics -&gt; human - birth name</t>
  </si>
  <si>
    <t>Missing data</t>
  </si>
  <si>
    <t>1-2 not completed at all</t>
  </si>
  <si>
    <t>completion in %</t>
  </si>
  <si>
    <t>Avg completion</t>
  </si>
  <si>
    <t>Avg completion no missing</t>
  </si>
  <si>
    <t>Avg completion no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</si>
</sst>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0" xfId="0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5" xfId="0" applyFill="1" applyBorder="1"/>
    <xf numFmtId="0" fontId="0" fillId="2" borderId="2" xfId="0" applyFill="1" applyBorder="1"/>
    <xf numFmtId="0" fontId="0" fillId="2" borderId="0" xfId="0" applyFill="1" applyBorder="1"/>
    <xf numFmtId="0" fontId="0" fillId="2" borderId="6" xfId="0" applyFill="1" applyBorder="1"/>
    <xf numFmtId="0" fontId="0" fillId="3" borderId="2" xfId="0" applyFill="1" applyBorder="1"/>
    <xf numFmtId="0" fontId="0" fillId="3" borderId="0" xfId="0" applyFill="1" applyBorder="1"/>
    <xf numFmtId="0" fontId="0" fillId="3" borderId="6" xfId="0" applyFill="1" applyBorder="1"/>
    <xf numFmtId="0" fontId="0" fillId="3" borderId="0" xfId="0" applyFill="1"/>
    <xf numFmtId="0" fontId="0" fillId="2" borderId="0" xfId="0" applyFill="1"/>
    <xf numFmtId="0" fontId="0" fillId="4" borderId="1" xfId="0" applyFill="1" applyBorder="1"/>
    <xf numFmtId="0" fontId="2" fillId="5" borderId="1" xfId="0" applyFont="1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1196464"/>
        <c:axId val="231196880"/>
      </c:barChart>
      <c:catAx>
        <c:axId val="2311964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196880"/>
        <c:crosses val="autoZero"/>
        <c:auto val="1"/>
        <c:lblAlgn val="ctr"/>
        <c:lblOffset val="100"/>
        <c:noMultiLvlLbl val="0"/>
      </c:catAx>
      <c:valAx>
        <c:axId val="23119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19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8BCB9D3-D97B-444B-9852-A4922075DD5C}">
  <sheetPr/>
  <sheetViews>
    <sheetView zoomScale="65" workbookViewId="0" zoomToFit="1"/>
  </sheetViews>
  <pageMargins left="0.7" right="0.7" top="0.78740157499999996" bottom="0.78740157499999996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36000" cy="6223000"/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698E8C1D-43C8-AB5A-5E78-8D5E2560C2B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3386F-6D10-4585-BFE5-F01E8253D506}">
  <dimension ref="D4:AA78"/>
  <sheetViews>
    <sheetView tabSelected="1" topLeftCell="I20" zoomScale="85" zoomScaleNormal="85" workbookViewId="0">
      <selection activeCell="AA32" sqref="AA32"/>
    </sheetView>
  </sheetViews>
  <sheetFormatPr defaultRowHeight="14.5" x14ac:dyDescent="0.35"/>
  <cols>
    <col min="4" max="4" width="95.1796875" customWidth="1"/>
    <col min="5" max="5" width="10.08984375" customWidth="1"/>
    <col min="12" max="12" width="86.453125" customWidth="1"/>
    <col min="22" max="22" width="20.6328125" bestFit="1" customWidth="1"/>
    <col min="23" max="23" width="11.26953125" customWidth="1"/>
    <col min="25" max="25" width="14.54296875" customWidth="1"/>
    <col min="26" max="27" width="25.1796875" bestFit="1" customWidth="1"/>
  </cols>
  <sheetData>
    <row r="4" spans="4:24" x14ac:dyDescent="0.35"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11" spans="4:24" x14ac:dyDescent="0.35">
      <c r="V11" s="20" t="s">
        <v>57</v>
      </c>
      <c r="W11" s="21" t="s">
        <v>56</v>
      </c>
    </row>
    <row r="12" spans="4:24" ht="18.5" x14ac:dyDescent="0.45">
      <c r="L12" s="23" t="s">
        <v>0</v>
      </c>
      <c r="M12" s="23">
        <v>1</v>
      </c>
      <c r="N12" s="23">
        <v>2</v>
      </c>
      <c r="O12" s="23">
        <v>3</v>
      </c>
      <c r="P12" s="23">
        <v>4</v>
      </c>
      <c r="Q12" s="23">
        <v>5</v>
      </c>
      <c r="R12" s="23">
        <v>6</v>
      </c>
      <c r="S12" s="23">
        <v>7</v>
      </c>
      <c r="T12" s="23">
        <v>8</v>
      </c>
      <c r="U12" s="23">
        <v>9</v>
      </c>
      <c r="V12" s="23">
        <v>10</v>
      </c>
      <c r="W12" s="23">
        <v>11</v>
      </c>
      <c r="X12" s="23">
        <v>12</v>
      </c>
    </row>
    <row r="13" spans="4:24" x14ac:dyDescent="0.35">
      <c r="L13" s="10" t="s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1</v>
      </c>
      <c r="V13" s="17">
        <v>0</v>
      </c>
      <c r="W13" s="14">
        <v>0</v>
      </c>
      <c r="X13" s="5">
        <v>1</v>
      </c>
    </row>
    <row r="14" spans="4:24" x14ac:dyDescent="0.35">
      <c r="D14" s="2" t="s">
        <v>0</v>
      </c>
      <c r="L14" s="11" t="s">
        <v>2</v>
      </c>
      <c r="M14" s="3">
        <v>1</v>
      </c>
      <c r="N14" s="3">
        <v>1</v>
      </c>
      <c r="O14" s="3">
        <v>1</v>
      </c>
      <c r="P14" s="9">
        <v>1</v>
      </c>
      <c r="Q14" s="9">
        <v>1</v>
      </c>
      <c r="R14" s="9">
        <v>1</v>
      </c>
      <c r="S14" s="9">
        <v>1</v>
      </c>
      <c r="T14" s="9">
        <v>1</v>
      </c>
      <c r="U14" s="9">
        <v>1</v>
      </c>
      <c r="V14" s="18">
        <v>0</v>
      </c>
      <c r="W14" s="15">
        <v>0</v>
      </c>
      <c r="X14" s="6">
        <v>1</v>
      </c>
    </row>
    <row r="15" spans="4:24" x14ac:dyDescent="0.35">
      <c r="L15" s="11" t="s">
        <v>3</v>
      </c>
      <c r="M15" s="3">
        <v>1</v>
      </c>
      <c r="N15" s="9">
        <v>1</v>
      </c>
      <c r="O15" s="9">
        <v>1</v>
      </c>
      <c r="P15" s="9">
        <v>1</v>
      </c>
      <c r="Q15" s="9">
        <v>1</v>
      </c>
      <c r="R15" s="9">
        <v>1</v>
      </c>
      <c r="S15" s="9">
        <v>1</v>
      </c>
      <c r="T15" s="9">
        <v>1</v>
      </c>
      <c r="U15" s="9">
        <v>1</v>
      </c>
      <c r="V15" s="18">
        <v>0</v>
      </c>
      <c r="W15" s="15">
        <v>0</v>
      </c>
      <c r="X15" s="6">
        <v>1</v>
      </c>
    </row>
    <row r="16" spans="4:24" x14ac:dyDescent="0.35">
      <c r="D16" t="s">
        <v>1</v>
      </c>
      <c r="L16" s="11" t="s">
        <v>4</v>
      </c>
      <c r="M16" s="3">
        <v>1</v>
      </c>
      <c r="N16" s="9">
        <v>1</v>
      </c>
      <c r="O16" s="9">
        <v>1</v>
      </c>
      <c r="P16" s="9">
        <v>1</v>
      </c>
      <c r="Q16" s="9">
        <v>1</v>
      </c>
      <c r="R16" s="9">
        <v>1</v>
      </c>
      <c r="S16" s="9">
        <v>1</v>
      </c>
      <c r="T16" s="9">
        <v>0</v>
      </c>
      <c r="U16" s="9">
        <v>1</v>
      </c>
      <c r="V16" s="18">
        <v>0</v>
      </c>
      <c r="W16" s="15">
        <v>0</v>
      </c>
      <c r="X16" s="6">
        <v>1</v>
      </c>
    </row>
    <row r="17" spans="4:27" x14ac:dyDescent="0.35">
      <c r="D17" t="s">
        <v>2</v>
      </c>
      <c r="L17" s="11" t="s">
        <v>5</v>
      </c>
      <c r="M17" s="3">
        <v>1</v>
      </c>
      <c r="N17" s="9">
        <v>1</v>
      </c>
      <c r="O17" s="9">
        <v>1</v>
      </c>
      <c r="P17" s="9">
        <v>1</v>
      </c>
      <c r="Q17" s="9">
        <v>1</v>
      </c>
      <c r="R17" s="9">
        <v>1</v>
      </c>
      <c r="S17" s="9">
        <v>1</v>
      </c>
      <c r="T17" s="9">
        <v>0</v>
      </c>
      <c r="U17" s="9">
        <v>1</v>
      </c>
      <c r="V17" s="18">
        <v>0</v>
      </c>
      <c r="W17" s="15">
        <v>0</v>
      </c>
      <c r="X17" s="6">
        <v>1</v>
      </c>
    </row>
    <row r="18" spans="4:27" x14ac:dyDescent="0.35">
      <c r="D18" t="s">
        <v>3</v>
      </c>
      <c r="L18" s="11" t="s">
        <v>6</v>
      </c>
      <c r="M18" s="3">
        <v>1</v>
      </c>
      <c r="N18" s="9">
        <v>1</v>
      </c>
      <c r="O18" s="9">
        <v>1</v>
      </c>
      <c r="P18" s="9">
        <v>1</v>
      </c>
      <c r="Q18" s="9">
        <v>1</v>
      </c>
      <c r="R18" s="9">
        <v>1</v>
      </c>
      <c r="S18" s="9">
        <v>1</v>
      </c>
      <c r="T18" s="9">
        <v>0</v>
      </c>
      <c r="U18" s="9">
        <v>1</v>
      </c>
      <c r="V18" s="18">
        <v>0</v>
      </c>
      <c r="W18" s="15">
        <v>0</v>
      </c>
      <c r="X18" s="6">
        <v>1</v>
      </c>
    </row>
    <row r="19" spans="4:27" x14ac:dyDescent="0.35">
      <c r="D19" t="s">
        <v>4</v>
      </c>
      <c r="L19" s="11" t="s">
        <v>7</v>
      </c>
      <c r="M19" s="3">
        <v>1</v>
      </c>
      <c r="N19" s="9">
        <v>1</v>
      </c>
      <c r="O19" s="9">
        <v>1</v>
      </c>
      <c r="P19" s="9">
        <v>1</v>
      </c>
      <c r="Q19" s="9">
        <v>1</v>
      </c>
      <c r="R19" s="9">
        <v>1</v>
      </c>
      <c r="S19" s="9">
        <v>1</v>
      </c>
      <c r="T19" s="9">
        <v>1</v>
      </c>
      <c r="U19" s="9">
        <v>1</v>
      </c>
      <c r="V19" s="18">
        <v>0</v>
      </c>
      <c r="W19" s="15">
        <v>0</v>
      </c>
      <c r="X19" s="6">
        <v>0</v>
      </c>
    </row>
    <row r="20" spans="4:27" x14ac:dyDescent="0.35">
      <c r="D20" t="s">
        <v>5</v>
      </c>
      <c r="L20" s="11" t="s">
        <v>8</v>
      </c>
      <c r="M20" s="9">
        <v>1</v>
      </c>
      <c r="N20" s="3">
        <v>1</v>
      </c>
      <c r="O20" s="9">
        <v>1</v>
      </c>
      <c r="P20" s="9">
        <v>1</v>
      </c>
      <c r="Q20" s="9">
        <v>1</v>
      </c>
      <c r="R20" s="9">
        <v>1</v>
      </c>
      <c r="S20" s="9">
        <v>1</v>
      </c>
      <c r="T20" s="9">
        <v>1</v>
      </c>
      <c r="U20" s="9">
        <v>1</v>
      </c>
      <c r="V20" s="18">
        <v>0</v>
      </c>
      <c r="W20" s="15">
        <v>0</v>
      </c>
      <c r="X20" s="6">
        <v>0</v>
      </c>
    </row>
    <row r="21" spans="4:27" x14ac:dyDescent="0.35">
      <c r="D21" t="s">
        <v>6</v>
      </c>
      <c r="L21" s="11" t="s">
        <v>9</v>
      </c>
      <c r="M21" s="3">
        <v>1</v>
      </c>
      <c r="N21" s="3">
        <v>1</v>
      </c>
      <c r="O21" s="9">
        <v>1</v>
      </c>
      <c r="P21" s="9">
        <v>1</v>
      </c>
      <c r="Q21" s="9">
        <v>1</v>
      </c>
      <c r="R21" s="9">
        <v>1</v>
      </c>
      <c r="S21" s="9">
        <v>1</v>
      </c>
      <c r="T21" s="9">
        <v>1</v>
      </c>
      <c r="U21" s="9">
        <v>1</v>
      </c>
      <c r="V21" s="18">
        <v>0</v>
      </c>
      <c r="W21" s="15">
        <v>0</v>
      </c>
      <c r="X21" s="6">
        <v>1</v>
      </c>
    </row>
    <row r="22" spans="4:27" x14ac:dyDescent="0.35">
      <c r="D22" t="s">
        <v>7</v>
      </c>
      <c r="L22" s="11" t="s">
        <v>10</v>
      </c>
      <c r="M22" s="3">
        <v>1</v>
      </c>
      <c r="N22" s="3">
        <v>1</v>
      </c>
      <c r="O22" s="9">
        <v>1</v>
      </c>
      <c r="P22" s="9">
        <v>1</v>
      </c>
      <c r="Q22" s="9">
        <v>1</v>
      </c>
      <c r="R22" s="9">
        <v>1</v>
      </c>
      <c r="S22" s="9">
        <v>1</v>
      </c>
      <c r="T22" s="9">
        <v>1</v>
      </c>
      <c r="U22" s="9">
        <v>1</v>
      </c>
      <c r="V22" s="18">
        <v>0</v>
      </c>
      <c r="W22" s="15">
        <v>0</v>
      </c>
      <c r="X22" s="6">
        <v>1</v>
      </c>
    </row>
    <row r="23" spans="4:27" x14ac:dyDescent="0.35">
      <c r="D23" t="s">
        <v>8</v>
      </c>
      <c r="L23" s="12" t="s">
        <v>11</v>
      </c>
      <c r="M23" s="7">
        <v>1</v>
      </c>
      <c r="N23" s="7">
        <v>1</v>
      </c>
      <c r="O23" s="7">
        <v>1</v>
      </c>
      <c r="P23" s="7">
        <v>1</v>
      </c>
      <c r="Q23" s="7">
        <v>1</v>
      </c>
      <c r="R23" s="7">
        <v>1</v>
      </c>
      <c r="S23" s="7">
        <v>1</v>
      </c>
      <c r="T23" s="7">
        <v>1</v>
      </c>
      <c r="U23" s="7">
        <v>1</v>
      </c>
      <c r="V23" s="19">
        <v>0</v>
      </c>
      <c r="W23" s="16">
        <v>0</v>
      </c>
      <c r="X23" s="8">
        <v>1</v>
      </c>
      <c r="Y23" s="25" t="s">
        <v>59</v>
      </c>
      <c r="Z23" s="24" t="s">
        <v>60</v>
      </c>
      <c r="AA23" s="26" t="s">
        <v>61</v>
      </c>
    </row>
    <row r="24" spans="4:27" x14ac:dyDescent="0.35">
      <c r="D24" t="s">
        <v>9</v>
      </c>
      <c r="L24" s="22" t="s">
        <v>58</v>
      </c>
      <c r="M24" s="22">
        <f>(SUM(M13:M23) / 11) * 100</f>
        <v>100</v>
      </c>
      <c r="N24" s="22">
        <f t="shared" ref="N24:X24" si="0">(SUM(N13:N23) / 11) * 100</f>
        <v>100</v>
      </c>
      <c r="O24" s="22">
        <f t="shared" si="0"/>
        <v>100</v>
      </c>
      <c r="P24" s="22">
        <f t="shared" si="0"/>
        <v>100</v>
      </c>
      <c r="Q24" s="22">
        <f t="shared" si="0"/>
        <v>100</v>
      </c>
      <c r="R24" s="22">
        <f t="shared" si="0"/>
        <v>100</v>
      </c>
      <c r="S24" s="22">
        <f t="shared" si="0"/>
        <v>100</v>
      </c>
      <c r="T24" s="22">
        <f t="shared" si="0"/>
        <v>72.727272727272734</v>
      </c>
      <c r="U24" s="22">
        <f t="shared" si="0"/>
        <v>100</v>
      </c>
      <c r="V24" s="22">
        <f t="shared" si="0"/>
        <v>0</v>
      </c>
      <c r="W24" s="22">
        <f t="shared" si="0"/>
        <v>0</v>
      </c>
      <c r="X24" s="22">
        <f t="shared" si="0"/>
        <v>81.818181818181827</v>
      </c>
      <c r="Y24" s="22">
        <f>AVERAGEA(M24:X24)</f>
        <v>79.545454545454547</v>
      </c>
      <c r="Z24" s="22">
        <f>AVERAGEA(M24:V24,X24)</f>
        <v>86.776859504132233</v>
      </c>
      <c r="AA24" s="22">
        <f>AVERAGEA(M24:U24,X24)</f>
        <v>95.454545454545467</v>
      </c>
    </row>
    <row r="25" spans="4:27" x14ac:dyDescent="0.35">
      <c r="D25" t="s">
        <v>10</v>
      </c>
    </row>
    <row r="26" spans="4:27" x14ac:dyDescent="0.35">
      <c r="D26" t="s">
        <v>11</v>
      </c>
    </row>
    <row r="29" spans="4:27" ht="18.5" x14ac:dyDescent="0.45">
      <c r="D29" s="2" t="s">
        <v>12</v>
      </c>
      <c r="L29" s="23" t="s">
        <v>12</v>
      </c>
      <c r="M29" s="23">
        <v>1</v>
      </c>
      <c r="N29" s="23">
        <v>2</v>
      </c>
      <c r="O29" s="23">
        <v>3</v>
      </c>
      <c r="P29" s="23">
        <v>4</v>
      </c>
      <c r="Q29" s="23">
        <v>5</v>
      </c>
      <c r="R29" s="23">
        <v>6</v>
      </c>
      <c r="S29" s="23">
        <v>7</v>
      </c>
      <c r="T29" s="23">
        <v>8</v>
      </c>
      <c r="U29" s="23">
        <v>9</v>
      </c>
      <c r="V29" s="23">
        <v>10</v>
      </c>
      <c r="W29" s="23">
        <v>11</v>
      </c>
      <c r="X29" s="23">
        <v>12</v>
      </c>
    </row>
    <row r="30" spans="4:27" x14ac:dyDescent="0.35">
      <c r="L30" s="10" t="s">
        <v>13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1</v>
      </c>
      <c r="V30" s="17">
        <v>0</v>
      </c>
      <c r="W30" s="14">
        <v>0</v>
      </c>
      <c r="X30" s="5">
        <v>1</v>
      </c>
    </row>
    <row r="31" spans="4:27" x14ac:dyDescent="0.35">
      <c r="D31" t="s">
        <v>13</v>
      </c>
      <c r="L31" s="11" t="s">
        <v>14</v>
      </c>
      <c r="M31" s="3">
        <v>1</v>
      </c>
      <c r="N31" s="3">
        <v>1</v>
      </c>
      <c r="O31" s="3">
        <v>1</v>
      </c>
      <c r="P31" s="9">
        <v>1</v>
      </c>
      <c r="Q31" s="9">
        <v>1</v>
      </c>
      <c r="R31" s="9">
        <v>1</v>
      </c>
      <c r="S31" s="9">
        <v>1</v>
      </c>
      <c r="T31" s="9">
        <v>1</v>
      </c>
      <c r="U31" s="9">
        <v>1</v>
      </c>
      <c r="V31" s="18">
        <v>0</v>
      </c>
      <c r="W31" s="15">
        <v>0</v>
      </c>
      <c r="X31" s="6">
        <v>1</v>
      </c>
    </row>
    <row r="32" spans="4:27" x14ac:dyDescent="0.35">
      <c r="D32" t="s">
        <v>14</v>
      </c>
      <c r="L32" s="11" t="s">
        <v>20</v>
      </c>
      <c r="M32" s="9">
        <v>1</v>
      </c>
      <c r="N32" s="9">
        <v>1</v>
      </c>
      <c r="O32" s="9">
        <v>1</v>
      </c>
      <c r="P32" s="9">
        <v>1</v>
      </c>
      <c r="Q32" s="9">
        <v>1</v>
      </c>
      <c r="R32" s="9">
        <v>1</v>
      </c>
      <c r="S32" s="9">
        <v>1</v>
      </c>
      <c r="T32" s="9">
        <v>1</v>
      </c>
      <c r="U32" s="9">
        <v>1</v>
      </c>
      <c r="V32" s="18">
        <v>0</v>
      </c>
      <c r="W32" s="15">
        <v>0</v>
      </c>
      <c r="X32" s="6">
        <v>1</v>
      </c>
    </row>
    <row r="33" spans="4:27" x14ac:dyDescent="0.35">
      <c r="D33" t="s">
        <v>20</v>
      </c>
      <c r="L33" s="11" t="s">
        <v>15</v>
      </c>
      <c r="M33" s="9">
        <v>1</v>
      </c>
      <c r="N33" s="9">
        <v>1</v>
      </c>
      <c r="O33" s="9">
        <v>1</v>
      </c>
      <c r="P33" s="9">
        <v>1</v>
      </c>
      <c r="Q33" s="9">
        <v>1</v>
      </c>
      <c r="R33" s="9">
        <v>1</v>
      </c>
      <c r="S33" s="9">
        <v>1</v>
      </c>
      <c r="T33" s="9">
        <v>1</v>
      </c>
      <c r="U33" s="9">
        <v>1</v>
      </c>
      <c r="V33" s="18">
        <v>0</v>
      </c>
      <c r="W33" s="15">
        <v>0</v>
      </c>
      <c r="X33" s="6">
        <v>1</v>
      </c>
    </row>
    <row r="34" spans="4:27" x14ac:dyDescent="0.35">
      <c r="D34" t="s">
        <v>15</v>
      </c>
      <c r="L34" s="11" t="s">
        <v>16</v>
      </c>
      <c r="M34" s="9">
        <v>1</v>
      </c>
      <c r="N34" s="9">
        <v>1</v>
      </c>
      <c r="O34" s="9">
        <v>1</v>
      </c>
      <c r="P34" s="9">
        <v>1</v>
      </c>
      <c r="Q34" s="9">
        <v>1</v>
      </c>
      <c r="R34" s="9">
        <v>1</v>
      </c>
      <c r="S34" s="9">
        <v>1</v>
      </c>
      <c r="T34" s="9">
        <v>1</v>
      </c>
      <c r="U34" s="9">
        <v>1</v>
      </c>
      <c r="V34" s="18">
        <v>0</v>
      </c>
      <c r="W34" s="15">
        <v>0</v>
      </c>
      <c r="X34" s="6">
        <v>1</v>
      </c>
    </row>
    <row r="35" spans="4:27" x14ac:dyDescent="0.35">
      <c r="D35" t="s">
        <v>16</v>
      </c>
      <c r="L35" s="11" t="s">
        <v>17</v>
      </c>
      <c r="M35" s="9">
        <v>1</v>
      </c>
      <c r="N35" s="9">
        <v>1</v>
      </c>
      <c r="O35" s="9">
        <v>1</v>
      </c>
      <c r="P35" s="9">
        <v>1</v>
      </c>
      <c r="Q35" s="9">
        <v>1</v>
      </c>
      <c r="R35" s="9">
        <v>1</v>
      </c>
      <c r="S35" s="9">
        <v>1</v>
      </c>
      <c r="T35" s="9">
        <v>1</v>
      </c>
      <c r="U35" s="9">
        <v>1</v>
      </c>
      <c r="V35" s="18">
        <v>0</v>
      </c>
      <c r="W35" s="15">
        <v>0</v>
      </c>
      <c r="X35" s="6">
        <v>1</v>
      </c>
    </row>
    <row r="36" spans="4:27" x14ac:dyDescent="0.35">
      <c r="D36" t="s">
        <v>17</v>
      </c>
      <c r="L36" s="11" t="s">
        <v>18</v>
      </c>
      <c r="M36" s="9">
        <v>1</v>
      </c>
      <c r="N36" s="9">
        <v>1</v>
      </c>
      <c r="O36" s="9">
        <v>1</v>
      </c>
      <c r="P36" s="9">
        <v>1</v>
      </c>
      <c r="Q36" s="9">
        <v>1</v>
      </c>
      <c r="R36" s="9">
        <v>1</v>
      </c>
      <c r="S36" s="9">
        <v>1</v>
      </c>
      <c r="T36" s="9">
        <v>1</v>
      </c>
      <c r="U36" s="9">
        <v>1</v>
      </c>
      <c r="V36" s="18">
        <v>0</v>
      </c>
      <c r="W36" s="15">
        <v>0</v>
      </c>
      <c r="X36" s="6">
        <v>1</v>
      </c>
    </row>
    <row r="37" spans="4:27" x14ac:dyDescent="0.35">
      <c r="D37" t="s">
        <v>18</v>
      </c>
      <c r="L37" s="11" t="s">
        <v>19</v>
      </c>
      <c r="M37" s="9">
        <v>1</v>
      </c>
      <c r="N37" s="9">
        <v>1</v>
      </c>
      <c r="O37" s="9">
        <v>1</v>
      </c>
      <c r="P37" s="9">
        <v>1</v>
      </c>
      <c r="Q37" s="9">
        <v>1</v>
      </c>
      <c r="R37" s="9">
        <v>1</v>
      </c>
      <c r="S37" s="9">
        <v>1</v>
      </c>
      <c r="T37" s="9">
        <v>1</v>
      </c>
      <c r="U37" s="9">
        <v>1</v>
      </c>
      <c r="V37" s="18">
        <v>0</v>
      </c>
      <c r="W37" s="15">
        <v>0</v>
      </c>
      <c r="X37" s="6">
        <v>1</v>
      </c>
    </row>
    <row r="38" spans="4:27" x14ac:dyDescent="0.35">
      <c r="D38" t="s">
        <v>19</v>
      </c>
      <c r="L38" s="11" t="s">
        <v>21</v>
      </c>
      <c r="M38" s="9">
        <v>1</v>
      </c>
      <c r="N38" s="9">
        <v>1</v>
      </c>
      <c r="O38" s="9">
        <v>0</v>
      </c>
      <c r="P38" s="9">
        <v>1</v>
      </c>
      <c r="Q38" s="9">
        <v>1</v>
      </c>
      <c r="R38" s="9">
        <v>1</v>
      </c>
      <c r="S38" s="9">
        <v>0</v>
      </c>
      <c r="T38" s="9">
        <v>0</v>
      </c>
      <c r="U38" s="9">
        <v>1</v>
      </c>
      <c r="V38" s="18">
        <v>0</v>
      </c>
      <c r="W38" s="15">
        <v>0</v>
      </c>
      <c r="X38" s="6">
        <v>0</v>
      </c>
    </row>
    <row r="39" spans="4:27" x14ac:dyDescent="0.35">
      <c r="D39" t="s">
        <v>21</v>
      </c>
      <c r="L39" s="11" t="s">
        <v>22</v>
      </c>
      <c r="M39" s="9">
        <v>1</v>
      </c>
      <c r="N39" s="9">
        <v>1</v>
      </c>
      <c r="O39" s="9">
        <v>0</v>
      </c>
      <c r="P39" s="9">
        <v>1</v>
      </c>
      <c r="Q39" s="9">
        <v>1</v>
      </c>
      <c r="R39" s="9">
        <v>1</v>
      </c>
      <c r="S39" s="9">
        <v>0</v>
      </c>
      <c r="T39" s="9">
        <v>0</v>
      </c>
      <c r="U39" s="9">
        <v>1</v>
      </c>
      <c r="V39" s="18">
        <v>0</v>
      </c>
      <c r="W39" s="15">
        <v>0</v>
      </c>
      <c r="X39" s="6">
        <v>0</v>
      </c>
    </row>
    <row r="40" spans="4:27" x14ac:dyDescent="0.35">
      <c r="D40" t="s">
        <v>22</v>
      </c>
      <c r="L40" s="11" t="s">
        <v>23</v>
      </c>
      <c r="M40" s="9">
        <v>1</v>
      </c>
      <c r="N40" s="9">
        <v>1</v>
      </c>
      <c r="O40" s="9">
        <v>1</v>
      </c>
      <c r="P40" s="9">
        <v>1</v>
      </c>
      <c r="Q40" s="9">
        <v>1</v>
      </c>
      <c r="R40" s="9">
        <v>1</v>
      </c>
      <c r="S40" s="9">
        <v>1</v>
      </c>
      <c r="T40" s="9">
        <v>1</v>
      </c>
      <c r="U40" s="9">
        <v>1</v>
      </c>
      <c r="V40" s="18">
        <v>0</v>
      </c>
      <c r="W40" s="15">
        <v>0</v>
      </c>
      <c r="X40" s="6">
        <v>1</v>
      </c>
    </row>
    <row r="41" spans="4:27" x14ac:dyDescent="0.35">
      <c r="D41" t="s">
        <v>23</v>
      </c>
      <c r="L41" s="11" t="s">
        <v>24</v>
      </c>
      <c r="M41" s="9">
        <v>1</v>
      </c>
      <c r="N41" s="9">
        <v>1</v>
      </c>
      <c r="O41" s="9">
        <v>1</v>
      </c>
      <c r="P41" s="9">
        <v>1</v>
      </c>
      <c r="Q41" s="9">
        <v>0</v>
      </c>
      <c r="R41" s="9">
        <v>1</v>
      </c>
      <c r="S41" s="9">
        <v>1</v>
      </c>
      <c r="T41" s="9">
        <v>1</v>
      </c>
      <c r="U41" s="9">
        <v>1</v>
      </c>
      <c r="V41" s="18">
        <v>0</v>
      </c>
      <c r="W41" s="15">
        <v>0</v>
      </c>
      <c r="X41" s="6">
        <v>1</v>
      </c>
    </row>
    <row r="42" spans="4:27" x14ac:dyDescent="0.35">
      <c r="D42" t="s">
        <v>24</v>
      </c>
      <c r="L42" s="11" t="s">
        <v>25</v>
      </c>
      <c r="M42" s="9">
        <v>1</v>
      </c>
      <c r="N42" s="9">
        <v>1</v>
      </c>
      <c r="O42" s="9">
        <v>1</v>
      </c>
      <c r="P42" s="9">
        <v>1</v>
      </c>
      <c r="Q42" s="9">
        <v>1</v>
      </c>
      <c r="R42" s="9">
        <v>1</v>
      </c>
      <c r="S42" s="9">
        <v>1</v>
      </c>
      <c r="T42" s="9">
        <v>1</v>
      </c>
      <c r="U42" s="9">
        <v>0</v>
      </c>
      <c r="V42" s="18">
        <v>0</v>
      </c>
      <c r="W42" s="15">
        <v>0</v>
      </c>
      <c r="X42" s="6">
        <v>1</v>
      </c>
    </row>
    <row r="43" spans="4:27" x14ac:dyDescent="0.35">
      <c r="D43" t="s">
        <v>25</v>
      </c>
      <c r="L43" s="11" t="s">
        <v>29</v>
      </c>
      <c r="M43" s="9">
        <v>1</v>
      </c>
      <c r="N43" s="9">
        <v>0</v>
      </c>
      <c r="O43" s="9">
        <v>1</v>
      </c>
      <c r="P43" s="9">
        <v>1</v>
      </c>
      <c r="Q43" s="9">
        <v>1</v>
      </c>
      <c r="R43" s="9">
        <v>1</v>
      </c>
      <c r="S43" s="9">
        <v>0</v>
      </c>
      <c r="T43" s="9">
        <v>0</v>
      </c>
      <c r="U43" s="9">
        <v>0</v>
      </c>
      <c r="V43" s="18">
        <v>0</v>
      </c>
      <c r="W43" s="15">
        <v>0</v>
      </c>
      <c r="X43" s="6">
        <v>1</v>
      </c>
    </row>
    <row r="44" spans="4:27" x14ac:dyDescent="0.35">
      <c r="D44" t="s">
        <v>29</v>
      </c>
      <c r="L44" s="11" t="s">
        <v>30</v>
      </c>
      <c r="M44" s="9">
        <v>1</v>
      </c>
      <c r="N44" s="9">
        <v>0</v>
      </c>
      <c r="O44" s="9">
        <v>1</v>
      </c>
      <c r="P44" s="9">
        <v>1</v>
      </c>
      <c r="Q44" s="9">
        <v>1</v>
      </c>
      <c r="R44" s="9">
        <v>1</v>
      </c>
      <c r="S44" s="9">
        <v>1</v>
      </c>
      <c r="T44" s="9">
        <v>1</v>
      </c>
      <c r="U44" s="9">
        <v>0</v>
      </c>
      <c r="V44" s="18">
        <v>0</v>
      </c>
      <c r="W44" s="15">
        <v>0</v>
      </c>
      <c r="X44" s="6">
        <v>1</v>
      </c>
    </row>
    <row r="45" spans="4:27" x14ac:dyDescent="0.35">
      <c r="D45" t="s">
        <v>30</v>
      </c>
      <c r="L45" s="11" t="s">
        <v>26</v>
      </c>
      <c r="M45" s="9">
        <v>1</v>
      </c>
      <c r="N45" s="9">
        <v>1</v>
      </c>
      <c r="O45" s="3">
        <v>1</v>
      </c>
      <c r="P45" s="9">
        <v>1</v>
      </c>
      <c r="Q45" s="9">
        <v>1</v>
      </c>
      <c r="R45" s="9">
        <v>0</v>
      </c>
      <c r="S45" s="9">
        <v>0</v>
      </c>
      <c r="T45" s="9">
        <v>1</v>
      </c>
      <c r="U45" s="9">
        <v>0</v>
      </c>
      <c r="V45" s="18">
        <v>0</v>
      </c>
      <c r="W45" s="15">
        <v>0</v>
      </c>
      <c r="X45" s="6">
        <v>1</v>
      </c>
    </row>
    <row r="46" spans="4:27" x14ac:dyDescent="0.35">
      <c r="D46" t="s">
        <v>26</v>
      </c>
      <c r="L46" s="11" t="s">
        <v>31</v>
      </c>
      <c r="M46" s="3">
        <v>1</v>
      </c>
      <c r="N46" s="3">
        <v>1</v>
      </c>
      <c r="O46" s="3">
        <v>1</v>
      </c>
      <c r="P46" s="9">
        <v>1</v>
      </c>
      <c r="Q46" s="9">
        <v>1</v>
      </c>
      <c r="R46" s="9">
        <v>1</v>
      </c>
      <c r="S46" s="9">
        <v>1</v>
      </c>
      <c r="T46" s="9">
        <v>1</v>
      </c>
      <c r="U46" s="9">
        <v>0</v>
      </c>
      <c r="V46" s="18">
        <v>0</v>
      </c>
      <c r="W46" s="15">
        <v>0</v>
      </c>
      <c r="X46" s="6">
        <v>1</v>
      </c>
    </row>
    <row r="47" spans="4:27" x14ac:dyDescent="0.35">
      <c r="D47" t="s">
        <v>27</v>
      </c>
      <c r="L47" s="11" t="s">
        <v>32</v>
      </c>
      <c r="M47" s="3">
        <v>1</v>
      </c>
      <c r="N47" s="3">
        <v>1</v>
      </c>
      <c r="O47" s="9">
        <v>1</v>
      </c>
      <c r="P47" s="9">
        <v>1</v>
      </c>
      <c r="Q47" s="9">
        <v>1</v>
      </c>
      <c r="R47" s="9">
        <v>1</v>
      </c>
      <c r="S47" s="9">
        <v>1</v>
      </c>
      <c r="T47" s="9">
        <v>1</v>
      </c>
      <c r="U47" s="9">
        <v>0</v>
      </c>
      <c r="V47" s="18">
        <v>0</v>
      </c>
      <c r="W47" s="15">
        <v>0</v>
      </c>
      <c r="X47" s="6">
        <v>1</v>
      </c>
    </row>
    <row r="48" spans="4:27" x14ac:dyDescent="0.35">
      <c r="D48" t="s">
        <v>28</v>
      </c>
      <c r="L48" s="12" t="s">
        <v>33</v>
      </c>
      <c r="M48" s="7">
        <v>1</v>
      </c>
      <c r="N48" s="7">
        <v>1</v>
      </c>
      <c r="O48" s="7">
        <v>1</v>
      </c>
      <c r="P48" s="7">
        <v>1</v>
      </c>
      <c r="Q48" s="7">
        <v>0</v>
      </c>
      <c r="R48" s="7">
        <v>0</v>
      </c>
      <c r="S48" s="7">
        <v>1</v>
      </c>
      <c r="T48" s="7">
        <v>1</v>
      </c>
      <c r="U48" s="7">
        <v>0</v>
      </c>
      <c r="V48" s="19">
        <v>0</v>
      </c>
      <c r="W48" s="16">
        <v>0</v>
      </c>
      <c r="X48" s="8">
        <v>0</v>
      </c>
      <c r="Y48" s="25" t="s">
        <v>59</v>
      </c>
      <c r="Z48" s="24" t="s">
        <v>60</v>
      </c>
      <c r="AA48" s="26" t="s">
        <v>61</v>
      </c>
    </row>
    <row r="49" spans="4:27" x14ac:dyDescent="0.35">
      <c r="D49" t="s">
        <v>31</v>
      </c>
      <c r="L49" s="22" t="s">
        <v>58</v>
      </c>
      <c r="M49" s="22">
        <f>(SUM(M30:M48) / 19) *100</f>
        <v>100</v>
      </c>
      <c r="N49" s="22">
        <f t="shared" ref="N49:X49" si="1">(SUM(N30:N48) / 19) *100</f>
        <v>89.473684210526315</v>
      </c>
      <c r="O49" s="22">
        <f t="shared" si="1"/>
        <v>89.473684210526315</v>
      </c>
      <c r="P49" s="22">
        <f t="shared" si="1"/>
        <v>100</v>
      </c>
      <c r="Q49" s="22">
        <f t="shared" si="1"/>
        <v>89.473684210526315</v>
      </c>
      <c r="R49" s="22">
        <f t="shared" si="1"/>
        <v>89.473684210526315</v>
      </c>
      <c r="S49" s="22">
        <f t="shared" si="1"/>
        <v>78.94736842105263</v>
      </c>
      <c r="T49" s="22">
        <f t="shared" si="1"/>
        <v>84.210526315789465</v>
      </c>
      <c r="U49" s="22">
        <f t="shared" si="1"/>
        <v>63.157894736842103</v>
      </c>
      <c r="V49" s="22">
        <f t="shared" si="1"/>
        <v>0</v>
      </c>
      <c r="W49" s="22">
        <f t="shared" si="1"/>
        <v>0</v>
      </c>
      <c r="X49" s="22">
        <f t="shared" si="1"/>
        <v>84.210526315789465</v>
      </c>
      <c r="Y49" s="22">
        <f>AVERAGEA(M49:X49)</f>
        <v>72.368421052631575</v>
      </c>
      <c r="Z49" s="22">
        <f>AVERAGEA(M49:V49,X49)</f>
        <v>78.947368421052616</v>
      </c>
      <c r="AA49" s="22">
        <f>AVERAGEA(M49:U49,X49)</f>
        <v>86.84210526315789</v>
      </c>
    </row>
    <row r="50" spans="4:27" x14ac:dyDescent="0.35">
      <c r="D50" t="s">
        <v>32</v>
      </c>
    </row>
    <row r="51" spans="4:27" x14ac:dyDescent="0.35">
      <c r="D51" t="s">
        <v>33</v>
      </c>
    </row>
    <row r="53" spans="4:27" ht="18.5" x14ac:dyDescent="0.45">
      <c r="L53" s="23" t="s">
        <v>34</v>
      </c>
      <c r="M53" s="23">
        <v>1</v>
      </c>
      <c r="N53" s="23">
        <v>2</v>
      </c>
      <c r="O53" s="23">
        <v>3</v>
      </c>
      <c r="P53" s="23">
        <v>4</v>
      </c>
      <c r="Q53" s="23">
        <v>5</v>
      </c>
      <c r="R53" s="23">
        <v>6</v>
      </c>
      <c r="S53" s="23">
        <v>7</v>
      </c>
      <c r="T53" s="23">
        <v>8</v>
      </c>
      <c r="U53" s="23">
        <v>9</v>
      </c>
      <c r="V53" s="23">
        <v>10</v>
      </c>
      <c r="W53" s="23">
        <v>11</v>
      </c>
      <c r="X53" s="23">
        <v>12</v>
      </c>
    </row>
    <row r="54" spans="4:27" x14ac:dyDescent="0.35">
      <c r="D54" s="2" t="s">
        <v>34</v>
      </c>
      <c r="L54" s="10" t="s">
        <v>14</v>
      </c>
      <c r="M54" s="4">
        <v>1</v>
      </c>
      <c r="N54" s="4">
        <v>1</v>
      </c>
      <c r="O54" s="4">
        <v>1</v>
      </c>
      <c r="P54" s="4">
        <v>1</v>
      </c>
      <c r="Q54" s="4">
        <v>1</v>
      </c>
      <c r="R54" s="4">
        <v>1</v>
      </c>
      <c r="S54" s="4">
        <v>1</v>
      </c>
      <c r="T54" s="4">
        <v>1</v>
      </c>
      <c r="U54" s="4">
        <v>1</v>
      </c>
      <c r="V54" s="4">
        <v>1</v>
      </c>
      <c r="W54" s="14">
        <v>0</v>
      </c>
      <c r="X54" s="5">
        <v>1</v>
      </c>
    </row>
    <row r="55" spans="4:27" x14ac:dyDescent="0.35">
      <c r="L55" s="11" t="s">
        <v>13</v>
      </c>
      <c r="M55" s="3">
        <v>1</v>
      </c>
      <c r="N55" s="3">
        <v>1</v>
      </c>
      <c r="O55" s="3">
        <v>1</v>
      </c>
      <c r="P55" s="9">
        <v>1</v>
      </c>
      <c r="Q55" s="9">
        <v>1</v>
      </c>
      <c r="R55" s="9">
        <v>1</v>
      </c>
      <c r="S55" s="9">
        <v>1</v>
      </c>
      <c r="T55" s="9">
        <v>1</v>
      </c>
      <c r="U55" s="9">
        <v>1</v>
      </c>
      <c r="V55" s="9">
        <v>1</v>
      </c>
      <c r="W55" s="15">
        <v>0</v>
      </c>
      <c r="X55" s="6">
        <v>1</v>
      </c>
    </row>
    <row r="56" spans="4:27" x14ac:dyDescent="0.35">
      <c r="D56" t="s">
        <v>14</v>
      </c>
      <c r="L56" s="11" t="s">
        <v>35</v>
      </c>
      <c r="M56" s="9">
        <v>1</v>
      </c>
      <c r="N56" s="9">
        <v>1</v>
      </c>
      <c r="O56" s="9">
        <v>1</v>
      </c>
      <c r="P56" s="9">
        <v>1</v>
      </c>
      <c r="Q56" s="9">
        <v>1</v>
      </c>
      <c r="R56" s="9">
        <v>1</v>
      </c>
      <c r="S56" s="9">
        <v>1</v>
      </c>
      <c r="T56" s="9">
        <v>1</v>
      </c>
      <c r="U56" s="9">
        <v>1</v>
      </c>
      <c r="V56" s="9">
        <v>1</v>
      </c>
      <c r="W56" s="15">
        <v>0</v>
      </c>
      <c r="X56" s="6">
        <v>1</v>
      </c>
    </row>
    <row r="57" spans="4:27" x14ac:dyDescent="0.35">
      <c r="D57" t="s">
        <v>13</v>
      </c>
      <c r="L57" s="11" t="s">
        <v>36</v>
      </c>
      <c r="M57" s="9">
        <v>1</v>
      </c>
      <c r="N57" s="9">
        <v>1</v>
      </c>
      <c r="O57" s="9">
        <v>1</v>
      </c>
      <c r="P57" s="9">
        <v>1</v>
      </c>
      <c r="Q57" s="9">
        <v>1</v>
      </c>
      <c r="R57" s="9">
        <v>1</v>
      </c>
      <c r="S57" s="9">
        <v>0</v>
      </c>
      <c r="T57" s="9">
        <v>1</v>
      </c>
      <c r="U57" s="9">
        <v>1</v>
      </c>
      <c r="V57" s="9">
        <v>1</v>
      </c>
      <c r="W57" s="15">
        <v>0</v>
      </c>
      <c r="X57" s="6">
        <v>1</v>
      </c>
    </row>
    <row r="58" spans="4:27" x14ac:dyDescent="0.35">
      <c r="D58" t="s">
        <v>35</v>
      </c>
      <c r="L58" s="11" t="s">
        <v>37</v>
      </c>
      <c r="M58" s="9">
        <v>1</v>
      </c>
      <c r="N58" s="9">
        <v>1</v>
      </c>
      <c r="O58" s="9">
        <v>1</v>
      </c>
      <c r="P58" s="9">
        <v>1</v>
      </c>
      <c r="Q58" s="9">
        <v>1</v>
      </c>
      <c r="R58" s="9">
        <v>1</v>
      </c>
      <c r="S58" s="9">
        <v>1</v>
      </c>
      <c r="T58" s="9">
        <v>1</v>
      </c>
      <c r="U58" s="9">
        <v>1</v>
      </c>
      <c r="V58" s="9">
        <v>1</v>
      </c>
      <c r="W58" s="15">
        <v>0</v>
      </c>
      <c r="X58" s="6">
        <v>1</v>
      </c>
    </row>
    <row r="59" spans="4:27" x14ac:dyDescent="0.35">
      <c r="D59" t="s">
        <v>36</v>
      </c>
      <c r="L59" s="11" t="s">
        <v>38</v>
      </c>
      <c r="M59" s="9">
        <v>1</v>
      </c>
      <c r="N59" s="9">
        <v>1</v>
      </c>
      <c r="O59" s="9">
        <v>1</v>
      </c>
      <c r="P59" s="9">
        <v>1</v>
      </c>
      <c r="Q59" s="9">
        <v>1</v>
      </c>
      <c r="R59" s="9">
        <v>1</v>
      </c>
      <c r="S59" s="9">
        <v>1</v>
      </c>
      <c r="T59" s="9">
        <v>1</v>
      </c>
      <c r="U59" s="9">
        <v>1</v>
      </c>
      <c r="V59" s="9">
        <v>1</v>
      </c>
      <c r="W59" s="15">
        <v>0</v>
      </c>
      <c r="X59" s="6">
        <v>1</v>
      </c>
    </row>
    <row r="60" spans="4:27" x14ac:dyDescent="0.35">
      <c r="D60" t="s">
        <v>37</v>
      </c>
      <c r="L60" s="11" t="s">
        <v>39</v>
      </c>
      <c r="M60" s="9">
        <v>1</v>
      </c>
      <c r="N60" s="9">
        <v>1</v>
      </c>
      <c r="O60" s="9">
        <v>1</v>
      </c>
      <c r="P60" s="9">
        <v>1</v>
      </c>
      <c r="Q60" s="9">
        <v>1</v>
      </c>
      <c r="R60" s="9">
        <v>1</v>
      </c>
      <c r="S60" s="9">
        <v>1</v>
      </c>
      <c r="T60" s="9">
        <v>1</v>
      </c>
      <c r="U60" s="9">
        <v>1</v>
      </c>
      <c r="V60" s="9">
        <v>1</v>
      </c>
      <c r="W60" s="15">
        <v>0</v>
      </c>
      <c r="X60" s="6">
        <v>1</v>
      </c>
    </row>
    <row r="61" spans="4:27" x14ac:dyDescent="0.35">
      <c r="D61" t="s">
        <v>38</v>
      </c>
      <c r="L61" s="11" t="s">
        <v>40</v>
      </c>
      <c r="M61" s="9">
        <v>1</v>
      </c>
      <c r="N61" s="9">
        <v>1</v>
      </c>
      <c r="O61" s="9">
        <v>1</v>
      </c>
      <c r="P61" s="9">
        <v>1</v>
      </c>
      <c r="Q61" s="9">
        <v>1</v>
      </c>
      <c r="R61" s="9">
        <v>1</v>
      </c>
      <c r="S61" s="9">
        <v>1</v>
      </c>
      <c r="T61" s="9">
        <v>1</v>
      </c>
      <c r="U61" s="9">
        <v>1</v>
      </c>
      <c r="V61" s="9">
        <v>1</v>
      </c>
      <c r="W61" s="15">
        <v>0</v>
      </c>
      <c r="X61" s="6">
        <v>1</v>
      </c>
    </row>
    <row r="62" spans="4:27" x14ac:dyDescent="0.35">
      <c r="D62" t="s">
        <v>39</v>
      </c>
      <c r="L62" s="11" t="s">
        <v>41</v>
      </c>
      <c r="M62" s="9">
        <v>1</v>
      </c>
      <c r="N62" s="9">
        <v>1</v>
      </c>
      <c r="O62" s="9">
        <v>1</v>
      </c>
      <c r="P62" s="9">
        <v>1</v>
      </c>
      <c r="Q62" s="9">
        <v>1</v>
      </c>
      <c r="R62" s="9">
        <v>1</v>
      </c>
      <c r="S62" s="9">
        <v>1</v>
      </c>
      <c r="T62" s="9">
        <v>1</v>
      </c>
      <c r="U62" s="9">
        <v>1</v>
      </c>
      <c r="V62" s="9">
        <v>1</v>
      </c>
      <c r="W62" s="15">
        <v>0</v>
      </c>
      <c r="X62" s="6">
        <v>1</v>
      </c>
    </row>
    <row r="63" spans="4:27" x14ac:dyDescent="0.35">
      <c r="D63" t="s">
        <v>40</v>
      </c>
      <c r="L63" s="11" t="s">
        <v>42</v>
      </c>
      <c r="M63" s="9">
        <v>1</v>
      </c>
      <c r="N63" s="9">
        <v>1</v>
      </c>
      <c r="O63" s="9">
        <v>1</v>
      </c>
      <c r="P63" s="9">
        <v>1</v>
      </c>
      <c r="Q63" s="9">
        <v>1</v>
      </c>
      <c r="R63" s="9">
        <v>1</v>
      </c>
      <c r="S63" s="9">
        <v>1</v>
      </c>
      <c r="T63" s="9">
        <v>1</v>
      </c>
      <c r="U63" s="9">
        <v>1</v>
      </c>
      <c r="V63" s="9">
        <v>1</v>
      </c>
      <c r="W63" s="15">
        <v>0</v>
      </c>
      <c r="X63" s="6">
        <v>1</v>
      </c>
    </row>
    <row r="64" spans="4:27" x14ac:dyDescent="0.35">
      <c r="D64" t="s">
        <v>41</v>
      </c>
      <c r="L64" s="11" t="s">
        <v>43</v>
      </c>
      <c r="M64" s="9">
        <v>1</v>
      </c>
      <c r="N64" s="9">
        <v>1</v>
      </c>
      <c r="O64" s="9">
        <v>1</v>
      </c>
      <c r="P64" s="9">
        <v>1</v>
      </c>
      <c r="Q64" s="9">
        <v>1</v>
      </c>
      <c r="R64" s="9">
        <v>1</v>
      </c>
      <c r="S64" s="9">
        <v>1</v>
      </c>
      <c r="T64" s="9">
        <v>1</v>
      </c>
      <c r="U64" s="9">
        <v>1</v>
      </c>
      <c r="V64" s="9">
        <v>0</v>
      </c>
      <c r="W64" s="15">
        <v>0</v>
      </c>
      <c r="X64" s="6">
        <v>1</v>
      </c>
    </row>
    <row r="65" spans="4:27" x14ac:dyDescent="0.35">
      <c r="D65" t="s">
        <v>42</v>
      </c>
      <c r="L65" s="11" t="s">
        <v>44</v>
      </c>
      <c r="M65" s="9">
        <v>1</v>
      </c>
      <c r="N65" s="9">
        <v>1</v>
      </c>
      <c r="O65" s="9">
        <v>1</v>
      </c>
      <c r="P65" s="9">
        <v>1</v>
      </c>
      <c r="Q65" s="9">
        <v>1</v>
      </c>
      <c r="R65" s="9">
        <v>1</v>
      </c>
      <c r="S65" s="9">
        <v>1</v>
      </c>
      <c r="T65" s="9">
        <v>1</v>
      </c>
      <c r="U65" s="9">
        <v>1</v>
      </c>
      <c r="V65" s="9">
        <v>0</v>
      </c>
      <c r="W65" s="15">
        <v>0</v>
      </c>
      <c r="X65" s="6">
        <v>1</v>
      </c>
    </row>
    <row r="66" spans="4:27" x14ac:dyDescent="0.35">
      <c r="D66" t="s">
        <v>43</v>
      </c>
      <c r="L66" s="11" t="s">
        <v>45</v>
      </c>
      <c r="M66" s="9">
        <v>1</v>
      </c>
      <c r="N66" s="9">
        <v>0</v>
      </c>
      <c r="O66" s="9">
        <v>1</v>
      </c>
      <c r="P66" s="9">
        <v>1</v>
      </c>
      <c r="Q66" s="9">
        <v>0</v>
      </c>
      <c r="R66" s="9">
        <v>1</v>
      </c>
      <c r="S66" s="9">
        <v>1</v>
      </c>
      <c r="T66" s="9">
        <v>0</v>
      </c>
      <c r="U66" s="9">
        <v>0</v>
      </c>
      <c r="V66" s="9">
        <v>0</v>
      </c>
      <c r="W66" s="15">
        <v>0</v>
      </c>
      <c r="X66" s="6">
        <v>1</v>
      </c>
    </row>
    <row r="67" spans="4:27" x14ac:dyDescent="0.35">
      <c r="D67" t="s">
        <v>44</v>
      </c>
      <c r="L67" s="11" t="s">
        <v>46</v>
      </c>
      <c r="M67" s="9">
        <v>1</v>
      </c>
      <c r="N67" s="9">
        <v>1</v>
      </c>
      <c r="O67" s="9">
        <v>1</v>
      </c>
      <c r="P67" s="9">
        <v>1</v>
      </c>
      <c r="Q67" s="9">
        <v>1</v>
      </c>
      <c r="R67" s="9">
        <v>1</v>
      </c>
      <c r="S67" s="9">
        <v>1</v>
      </c>
      <c r="T67" s="9">
        <v>1</v>
      </c>
      <c r="U67" s="9">
        <v>1</v>
      </c>
      <c r="V67" s="9">
        <v>0</v>
      </c>
      <c r="W67" s="15">
        <v>0</v>
      </c>
      <c r="X67" s="6">
        <v>1</v>
      </c>
    </row>
    <row r="68" spans="4:27" x14ac:dyDescent="0.35">
      <c r="D68" t="s">
        <v>45</v>
      </c>
      <c r="L68" s="11" t="s">
        <v>47</v>
      </c>
      <c r="M68" s="9">
        <v>1</v>
      </c>
      <c r="N68" s="3">
        <v>1</v>
      </c>
      <c r="O68" s="3">
        <v>1</v>
      </c>
      <c r="P68" s="9">
        <v>1</v>
      </c>
      <c r="Q68" s="9">
        <v>1</v>
      </c>
      <c r="R68" s="9">
        <v>1</v>
      </c>
      <c r="S68" s="9">
        <v>1</v>
      </c>
      <c r="T68" s="9">
        <v>1</v>
      </c>
      <c r="U68" s="9">
        <v>1</v>
      </c>
      <c r="V68" s="9">
        <v>1</v>
      </c>
      <c r="W68" s="15">
        <v>0</v>
      </c>
      <c r="X68" s="6">
        <v>1</v>
      </c>
    </row>
    <row r="69" spans="4:27" x14ac:dyDescent="0.35">
      <c r="D69" t="s">
        <v>46</v>
      </c>
      <c r="L69" s="11" t="s">
        <v>48</v>
      </c>
      <c r="M69" s="9">
        <v>1</v>
      </c>
      <c r="N69" s="3">
        <v>1</v>
      </c>
      <c r="O69" s="3">
        <v>1</v>
      </c>
      <c r="P69" s="9">
        <v>1</v>
      </c>
      <c r="Q69" s="9">
        <v>1</v>
      </c>
      <c r="R69" s="9">
        <v>1</v>
      </c>
      <c r="S69" s="9">
        <v>1</v>
      </c>
      <c r="T69" s="9">
        <v>1</v>
      </c>
      <c r="U69" s="9">
        <v>1</v>
      </c>
      <c r="V69" s="9">
        <v>1</v>
      </c>
      <c r="W69" s="15">
        <v>0</v>
      </c>
      <c r="X69" s="6">
        <v>1</v>
      </c>
    </row>
    <row r="70" spans="4:27" x14ac:dyDescent="0.35">
      <c r="D70" t="s">
        <v>47</v>
      </c>
      <c r="L70" s="11" t="s">
        <v>49</v>
      </c>
      <c r="M70" s="9">
        <v>1</v>
      </c>
      <c r="N70" s="3">
        <v>1</v>
      </c>
      <c r="O70" s="3">
        <v>1</v>
      </c>
      <c r="P70" s="9">
        <v>1</v>
      </c>
      <c r="Q70" s="9">
        <v>1</v>
      </c>
      <c r="R70" s="9">
        <v>0</v>
      </c>
      <c r="S70" s="9">
        <v>1</v>
      </c>
      <c r="T70" s="9">
        <v>0</v>
      </c>
      <c r="U70" s="9">
        <v>0</v>
      </c>
      <c r="V70" s="9">
        <v>1</v>
      </c>
      <c r="W70" s="15">
        <v>0</v>
      </c>
      <c r="X70" s="6">
        <v>0</v>
      </c>
    </row>
    <row r="71" spans="4:27" x14ac:dyDescent="0.35">
      <c r="D71" t="s">
        <v>48</v>
      </c>
      <c r="L71" s="11" t="s">
        <v>50</v>
      </c>
      <c r="M71" s="9">
        <v>1</v>
      </c>
      <c r="N71" s="3">
        <v>1</v>
      </c>
      <c r="O71" s="3">
        <v>1</v>
      </c>
      <c r="P71" s="9">
        <v>1</v>
      </c>
      <c r="Q71" s="9">
        <v>1</v>
      </c>
      <c r="R71" s="9">
        <v>1</v>
      </c>
      <c r="S71" s="9">
        <v>1</v>
      </c>
      <c r="T71" s="9">
        <v>1</v>
      </c>
      <c r="U71" s="9">
        <v>1</v>
      </c>
      <c r="V71" s="9">
        <v>1</v>
      </c>
      <c r="W71" s="15">
        <v>0</v>
      </c>
      <c r="X71" s="6">
        <v>1</v>
      </c>
    </row>
    <row r="72" spans="4:27" x14ac:dyDescent="0.35">
      <c r="D72" t="s">
        <v>49</v>
      </c>
      <c r="L72" s="11" t="s">
        <v>51</v>
      </c>
      <c r="M72" s="9">
        <v>1</v>
      </c>
      <c r="N72" s="3">
        <v>1</v>
      </c>
      <c r="O72" s="3">
        <v>1</v>
      </c>
      <c r="P72" s="9">
        <v>1</v>
      </c>
      <c r="Q72" s="9">
        <v>1</v>
      </c>
      <c r="R72" s="9">
        <v>0</v>
      </c>
      <c r="S72" s="9">
        <v>1</v>
      </c>
      <c r="T72" s="9">
        <v>1</v>
      </c>
      <c r="U72" s="9">
        <v>1</v>
      </c>
      <c r="V72" s="9">
        <v>1</v>
      </c>
      <c r="W72" s="15">
        <v>0</v>
      </c>
      <c r="X72" s="6">
        <v>1</v>
      </c>
    </row>
    <row r="73" spans="4:27" x14ac:dyDescent="0.35">
      <c r="D73" t="s">
        <v>50</v>
      </c>
      <c r="L73" s="11" t="s">
        <v>52</v>
      </c>
      <c r="M73" s="9">
        <v>1</v>
      </c>
      <c r="N73" s="3">
        <v>1</v>
      </c>
      <c r="O73" s="3">
        <v>1</v>
      </c>
      <c r="P73" s="9">
        <v>1</v>
      </c>
      <c r="Q73" s="9">
        <v>1</v>
      </c>
      <c r="R73" s="9">
        <v>1</v>
      </c>
      <c r="S73" s="9">
        <v>1</v>
      </c>
      <c r="T73" s="9">
        <v>1</v>
      </c>
      <c r="U73" s="9">
        <v>1</v>
      </c>
      <c r="V73" s="9">
        <v>1</v>
      </c>
      <c r="W73" s="15">
        <v>0</v>
      </c>
      <c r="X73" s="6">
        <v>1</v>
      </c>
    </row>
    <row r="74" spans="4:27" x14ac:dyDescent="0.35">
      <c r="D74" t="s">
        <v>51</v>
      </c>
      <c r="L74" s="11" t="s">
        <v>53</v>
      </c>
      <c r="M74" s="9">
        <v>1</v>
      </c>
      <c r="N74" s="3">
        <v>1</v>
      </c>
      <c r="O74" s="3">
        <v>1</v>
      </c>
      <c r="P74" s="9">
        <v>1</v>
      </c>
      <c r="Q74" s="9">
        <v>1</v>
      </c>
      <c r="R74" s="9">
        <v>0</v>
      </c>
      <c r="S74" s="9">
        <v>1</v>
      </c>
      <c r="T74" s="9">
        <v>1</v>
      </c>
      <c r="U74" s="9">
        <v>0</v>
      </c>
      <c r="V74" s="9">
        <v>1</v>
      </c>
      <c r="W74" s="15">
        <v>0</v>
      </c>
      <c r="X74" s="6">
        <v>1</v>
      </c>
    </row>
    <row r="75" spans="4:27" x14ac:dyDescent="0.35">
      <c r="D75" t="s">
        <v>52</v>
      </c>
      <c r="L75" s="11" t="s">
        <v>54</v>
      </c>
      <c r="M75" s="9">
        <v>1</v>
      </c>
      <c r="N75" s="3">
        <v>0</v>
      </c>
      <c r="O75" s="3">
        <v>1</v>
      </c>
      <c r="P75" s="9">
        <v>1</v>
      </c>
      <c r="Q75" s="9">
        <v>1</v>
      </c>
      <c r="R75" s="9">
        <v>0</v>
      </c>
      <c r="S75" s="9">
        <v>1</v>
      </c>
      <c r="T75" s="9">
        <v>1</v>
      </c>
      <c r="U75" s="9">
        <v>1</v>
      </c>
      <c r="V75" s="9">
        <v>1</v>
      </c>
      <c r="W75" s="15">
        <v>0</v>
      </c>
      <c r="X75" s="6">
        <v>1</v>
      </c>
    </row>
    <row r="76" spans="4:27" x14ac:dyDescent="0.35">
      <c r="D76" t="s">
        <v>53</v>
      </c>
      <c r="L76" s="12" t="s">
        <v>55</v>
      </c>
      <c r="M76" s="13">
        <v>1</v>
      </c>
      <c r="N76" s="7">
        <v>0</v>
      </c>
      <c r="O76" s="7">
        <v>1</v>
      </c>
      <c r="P76" s="7">
        <v>1</v>
      </c>
      <c r="Q76" s="7">
        <v>1</v>
      </c>
      <c r="R76" s="7">
        <v>0</v>
      </c>
      <c r="S76" s="7">
        <v>1</v>
      </c>
      <c r="T76" s="7">
        <v>0</v>
      </c>
      <c r="U76" s="7">
        <v>1</v>
      </c>
      <c r="V76" s="7">
        <v>0</v>
      </c>
      <c r="W76" s="16">
        <v>0</v>
      </c>
      <c r="X76" s="8">
        <v>1</v>
      </c>
      <c r="Y76" s="25" t="s">
        <v>59</v>
      </c>
      <c r="Z76" s="24" t="s">
        <v>60</v>
      </c>
      <c r="AA76" s="26" t="s">
        <v>61</v>
      </c>
    </row>
    <row r="77" spans="4:27" x14ac:dyDescent="0.35">
      <c r="D77" t="s">
        <v>54</v>
      </c>
      <c r="L77" s="22" t="s">
        <v>58</v>
      </c>
      <c r="M77" s="22">
        <f>(SUM(M54:M76)/23) * 100</f>
        <v>100</v>
      </c>
      <c r="N77" s="22">
        <f t="shared" ref="N77:X77" si="2">(SUM(N54:N76)/23) * 100</f>
        <v>86.956521739130437</v>
      </c>
      <c r="O77" s="22">
        <f t="shared" si="2"/>
        <v>100</v>
      </c>
      <c r="P77" s="22">
        <f t="shared" si="2"/>
        <v>100</v>
      </c>
      <c r="Q77" s="22">
        <f t="shared" si="2"/>
        <v>95.652173913043484</v>
      </c>
      <c r="R77" s="22">
        <f t="shared" si="2"/>
        <v>78.260869565217391</v>
      </c>
      <c r="S77" s="22">
        <f t="shared" si="2"/>
        <v>95.652173913043484</v>
      </c>
      <c r="T77" s="22">
        <f t="shared" si="2"/>
        <v>86.956521739130437</v>
      </c>
      <c r="U77" s="22">
        <f t="shared" si="2"/>
        <v>86.956521739130437</v>
      </c>
      <c r="V77" s="22">
        <f t="shared" si="2"/>
        <v>78.260869565217391</v>
      </c>
      <c r="W77" s="22">
        <f t="shared" si="2"/>
        <v>0</v>
      </c>
      <c r="X77" s="22">
        <f t="shared" si="2"/>
        <v>95.652173913043484</v>
      </c>
      <c r="Y77" s="22">
        <f>AVERAGEA(M77:X77)</f>
        <v>83.695652173913047</v>
      </c>
      <c r="Z77" s="22">
        <f>AVERAGEA(M77:V77,X77)</f>
        <v>91.304347826086968</v>
      </c>
      <c r="AA77" s="22">
        <f>AVERAGEA(M77:U77,X77)</f>
        <v>92.608695652173921</v>
      </c>
    </row>
    <row r="78" spans="4:27" x14ac:dyDescent="0.35">
      <c r="D78" t="s">
        <v>55</v>
      </c>
    </row>
  </sheetData>
  <mergeCells count="1">
    <mergeCell ref="G4:R4"/>
  </mergeCells>
  <pageMargins left="0.7" right="0.7" top="0.78740157499999996" bottom="0.78740157499999996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Grafy</vt:lpstr>
      </vt:variant>
      <vt:variant>
        <vt:i4>1</vt:i4>
      </vt:variant>
    </vt:vector>
  </HeadingPairs>
  <TitlesOfParts>
    <vt:vector size="2" baseType="lpstr">
      <vt:lpstr>List1</vt:lpstr>
      <vt:lpstr>Graf1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m9</dc:creator>
  <cp:lastModifiedBy>m9</cp:lastModifiedBy>
  <dcterms:created xsi:type="dcterms:W3CDTF">2024-08-18T14:16:57Z</dcterms:created>
  <dcterms:modified xsi:type="dcterms:W3CDTF">2024-08-18T16:06:00Z</dcterms:modified>
</cp:coreProperties>
</file>